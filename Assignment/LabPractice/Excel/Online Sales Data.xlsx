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nevin\OneDrive\Desktop\tops-technologies\Assignment\LabPractice\Excel\"/>
    </mc:Choice>
  </mc:AlternateContent>
  <bookViews>
    <workbookView xWindow="0" yWindow="0" windowWidth="19200" windowHeight="7190" activeTab="2"/>
  </bookViews>
  <sheets>
    <sheet name="Online Sales Data" sheetId="1" r:id="rId1"/>
    <sheet name="Q2" sheetId="3" r:id="rId2"/>
    <sheet name="Q1" sheetId="2" r:id="rId3"/>
  </sheets>
  <definedNames>
    <definedName name="Q1_2024">'Online Sales Data'!$B$2:$B$122</definedName>
  </definedNames>
  <calcPr calcId="0"/>
</workbook>
</file>

<file path=xl/calcChain.xml><?xml version="1.0" encoding="utf-8"?>
<calcChain xmlns="http://schemas.openxmlformats.org/spreadsheetml/2006/main">
  <c r="G121" i="3" l="1"/>
  <c r="G123" i="2"/>
  <c r="J122" i="2"/>
  <c r="J121" i="2"/>
  <c r="J120" i="2"/>
  <c r="J119" i="2"/>
  <c r="J118" i="2"/>
  <c r="J117" i="2"/>
  <c r="J116" i="2"/>
  <c r="J115" i="2"/>
  <c r="J114" i="2"/>
  <c r="J113" i="2"/>
  <c r="J112" i="2"/>
  <c r="J111" i="2"/>
  <c r="J110" i="2"/>
  <c r="J109" i="2"/>
  <c r="J108" i="2"/>
  <c r="J107" i="2"/>
  <c r="J106" i="2"/>
  <c r="J105" i="2"/>
  <c r="J104" i="2"/>
  <c r="J103" i="2"/>
  <c r="J102" i="2"/>
  <c r="J101" i="2"/>
  <c r="J100" i="2"/>
  <c r="J99" i="2"/>
  <c r="J98" i="2"/>
  <c r="J97" i="2"/>
  <c r="J96" i="2"/>
  <c r="J95" i="2"/>
  <c r="J94" i="2"/>
  <c r="J93" i="2"/>
  <c r="J92" i="2"/>
  <c r="J91" i="2"/>
  <c r="J90" i="2"/>
  <c r="J89" i="2"/>
  <c r="J88" i="2"/>
  <c r="J87" i="2"/>
  <c r="J86" i="2"/>
  <c r="J85" i="2"/>
  <c r="J84" i="2"/>
  <c r="J83" i="2"/>
  <c r="J82" i="2"/>
  <c r="J81" i="2"/>
  <c r="J80" i="2"/>
  <c r="J79" i="2"/>
  <c r="J78" i="2"/>
  <c r="J77" i="2"/>
  <c r="J76" i="2"/>
  <c r="J75" i="2"/>
  <c r="J74" i="2"/>
  <c r="J73" i="2"/>
  <c r="J72" i="2"/>
  <c r="J71" i="2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J2" i="2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</calcChain>
</file>

<file path=xl/sharedStrings.xml><?xml version="1.0" encoding="utf-8"?>
<sst xmlns="http://schemas.openxmlformats.org/spreadsheetml/2006/main" count="1950" uniqueCount="254">
  <si>
    <t>Transaction ID</t>
  </si>
  <si>
    <t>Date</t>
  </si>
  <si>
    <t>Product Category</t>
  </si>
  <si>
    <t>Product Name</t>
  </si>
  <si>
    <t>Units Sold</t>
  </si>
  <si>
    <t>Unit Price</t>
  </si>
  <si>
    <t>Total Revenue</t>
  </si>
  <si>
    <t>Region</t>
  </si>
  <si>
    <t>Payment Method</t>
  </si>
  <si>
    <t>Electronics</t>
  </si>
  <si>
    <t>iPhone 14 Pro</t>
  </si>
  <si>
    <t>North America</t>
  </si>
  <si>
    <t>Credit Card</t>
  </si>
  <si>
    <t>Home Appliances</t>
  </si>
  <si>
    <t>Dyson V11 Vacuum</t>
  </si>
  <si>
    <t>Europe</t>
  </si>
  <si>
    <t>PayPal</t>
  </si>
  <si>
    <t>Clothing</t>
  </si>
  <si>
    <t>Levi's 501 Jeans</t>
  </si>
  <si>
    <t>Asia</t>
  </si>
  <si>
    <t>Debit Card</t>
  </si>
  <si>
    <t>Books</t>
  </si>
  <si>
    <t>The Da Vinci Code</t>
  </si>
  <si>
    <t>Beauty Products</t>
  </si>
  <si>
    <t>Neutrogena Skincare Set</t>
  </si>
  <si>
    <t>Sports</t>
  </si>
  <si>
    <t>Wilson Evolution Basketball</t>
  </si>
  <si>
    <t>MacBook Pro 16-inch</t>
  </si>
  <si>
    <t>Blueair Classic 480i</t>
  </si>
  <si>
    <t>Nike Air Force 1</t>
  </si>
  <si>
    <t>Dune by Frank Herbert</t>
  </si>
  <si>
    <t>Chanel No. 5 Perfume</t>
  </si>
  <si>
    <t>Babolat Pure Drive Tennis Racket</t>
  </si>
  <si>
    <t>Samsung Galaxy Tab S8</t>
  </si>
  <si>
    <t>Keurig K-Elite Coffee Maker</t>
  </si>
  <si>
    <t>North Face Down Jacket</t>
  </si>
  <si>
    <t>Salt, Fat, Acid, Heat by Samin Nosrat</t>
  </si>
  <si>
    <t>Dyson Supersonic Hair Dryer</t>
  </si>
  <si>
    <t>Manduka PRO Yoga Mat</t>
  </si>
  <si>
    <t>Garmin Forerunner 945</t>
  </si>
  <si>
    <t>Ninja Professional Blender</t>
  </si>
  <si>
    <t>Zara Summer Dress</t>
  </si>
  <si>
    <t>Gone Girl by Gillian Flynn</t>
  </si>
  <si>
    <t>Olay Regenerist Face Cream</t>
  </si>
  <si>
    <t>Adidas FIFA World Cup Football</t>
  </si>
  <si>
    <t>Bose QuietComfort 35 Headphones</t>
  </si>
  <si>
    <t>Panasonic NN-SN966S Microwave</t>
  </si>
  <si>
    <t>Adidas Ultraboost Shoes</t>
  </si>
  <si>
    <t>Pride and Prejudice by Jane Austen</t>
  </si>
  <si>
    <t>MAC Ruby Woo Lipstick</t>
  </si>
  <si>
    <t>Nike Air Zoom Pegasus 37</t>
  </si>
  <si>
    <t>Sony WH-1000XM4 Headphones</t>
  </si>
  <si>
    <t>Instant Pot Duo</t>
  </si>
  <si>
    <t>Under Armour HeatGear T-Shirt</t>
  </si>
  <si>
    <t>1984 by George Orwell</t>
  </si>
  <si>
    <t>L'Oreal Revitalift Serum</t>
  </si>
  <si>
    <t>Peloton Bike</t>
  </si>
  <si>
    <t>Apple Watch Series 8</t>
  </si>
  <si>
    <t>Roomba i7+</t>
  </si>
  <si>
    <t>Columbia Fleece Jacket</t>
  </si>
  <si>
    <t>Harry Potter and the Sorcerer's Stone</t>
  </si>
  <si>
    <t>Estee Lauder Advanced Night Repair</t>
  </si>
  <si>
    <t>Fitbit Charge 5</t>
  </si>
  <si>
    <t>GoPro HERO10 Black</t>
  </si>
  <si>
    <t>Nespresso VertuoPlus</t>
  </si>
  <si>
    <t>Patagonia Better Sweater</t>
  </si>
  <si>
    <t>Becoming by Michelle Obama</t>
  </si>
  <si>
    <t>Clinique Moisture Surge</t>
  </si>
  <si>
    <t>Yeti Rambler Tumbler</t>
  </si>
  <si>
    <t>Kindle Paperwhite</t>
  </si>
  <si>
    <t>Breville Smart Oven</t>
  </si>
  <si>
    <t>Ray-Ban Aviator Sunglasses</t>
  </si>
  <si>
    <t>The Silent Patient by Alex Michaelides</t>
  </si>
  <si>
    <t>Shiseido Ultimate Sun Protector</t>
  </si>
  <si>
    <t>Titleist Pro V1 Golf Balls</t>
  </si>
  <si>
    <t>Anker PowerCore Portable Charger</t>
  </si>
  <si>
    <t>KitchenAid Artisan Stand Mixer</t>
  </si>
  <si>
    <t>Calvin Klein Boxer Briefs</t>
  </si>
  <si>
    <t>Educated by Tara Westover</t>
  </si>
  <si>
    <t>Anastasia Beverly Hills Brow Wiz</t>
  </si>
  <si>
    <t>Hyperice Hypervolt Massager</t>
  </si>
  <si>
    <t>Nintendo Switch</t>
  </si>
  <si>
    <t>Philips Airfryer XXL</t>
  </si>
  <si>
    <t>Hanes ComfortSoft T-Shirt</t>
  </si>
  <si>
    <t>Where the Crawdads Sing by Delia Owens</t>
  </si>
  <si>
    <t>Lancome La Vie Est Belle</t>
  </si>
  <si>
    <t>Garmin Edge 530</t>
  </si>
  <si>
    <t>Samsung QLED 4K TV</t>
  </si>
  <si>
    <t>Eufy RoboVac 11S</t>
  </si>
  <si>
    <t>Puma Suede Classic Sneakers</t>
  </si>
  <si>
    <t>The Great Gatsby by F. Scott Fitzgerald</t>
  </si>
  <si>
    <t>Drunk Elephant C-Firma Day Serum</t>
  </si>
  <si>
    <t>Nike Metcon 6</t>
  </si>
  <si>
    <t>HP Spectre x360 Laptop</t>
  </si>
  <si>
    <t>De'Longhi Magnifica Espresso Machine</t>
  </si>
  <si>
    <t>Tommy Hilfiger Polo Shirt</t>
  </si>
  <si>
    <t>To Kill a Mockingbird by Harper Lee</t>
  </si>
  <si>
    <t>Glossier Boy Brow</t>
  </si>
  <si>
    <t>Rogue Fitness Kettlebell</t>
  </si>
  <si>
    <t>Apple AirPods Pro</t>
  </si>
  <si>
    <t>Dyson Pure Cool Link</t>
  </si>
  <si>
    <t>Levi's Trucker Jacket</t>
  </si>
  <si>
    <t>The Hobbit by J.R.R. Tolkien</t>
  </si>
  <si>
    <t>Charlotte Tilbury Magic Cream</t>
  </si>
  <si>
    <t>Spalding NBA Street Basketball</t>
  </si>
  <si>
    <t>Ring Video Doorbell</t>
  </si>
  <si>
    <t>LG OLED TV</t>
  </si>
  <si>
    <t>Uniqlo Ultra Light Down Jacket</t>
  </si>
  <si>
    <t>The Catcher in the Rye by J.D. Salinger</t>
  </si>
  <si>
    <t>Sunday Riley Good Genes</t>
  </si>
  <si>
    <t>On Running Cloud Shoes</t>
  </si>
  <si>
    <t>Logitech MX Master 3 Mouse</t>
  </si>
  <si>
    <t>Instant Pot Duo Crisp</t>
  </si>
  <si>
    <t>Adidas Originals Superstar Sneakers</t>
  </si>
  <si>
    <t>The Alchemist by Paulo Coelho</t>
  </si>
  <si>
    <t>Tatcha The Water Cream</t>
  </si>
  <si>
    <t>Garmin Fenix 6X Pro</t>
  </si>
  <si>
    <t>Bose SoundLink Revolve+ Speaker</t>
  </si>
  <si>
    <t>Vitamix Explorian Blender</t>
  </si>
  <si>
    <t>Gap Essential Crewneck T-Shirt</t>
  </si>
  <si>
    <t>The Power of Now by Eckhart Tolle</t>
  </si>
  <si>
    <t>Kiehl's Midnight Recovery Concentrate</t>
  </si>
  <si>
    <t>Under Armour HOVR Sonic 4 Shoes</t>
  </si>
  <si>
    <t>Canon EOS R5 Camera</t>
  </si>
  <si>
    <t>Shark IQ Robot Vacuum</t>
  </si>
  <si>
    <t>H&amp;M Slim Fit Jeans</t>
  </si>
  <si>
    <t>The Girl on the Train by Paula Hawkins</t>
  </si>
  <si>
    <t>The Ordinary Niacinamide Serum</t>
  </si>
  <si>
    <t>Bowflex SelectTech 552 Dumbbells</t>
  </si>
  <si>
    <t>Google Nest Hub Max</t>
  </si>
  <si>
    <t>Cuisinart Griddler Deluxe</t>
  </si>
  <si>
    <t>Old Navy Relaxed-Fit T-Shirt</t>
  </si>
  <si>
    <t>Sapiens: A Brief History of Humankind by Yuval Noah Harari</t>
  </si>
  <si>
    <t>Biore UV Aqua Rich Watery Essence Sunscreen</t>
  </si>
  <si>
    <t>Fitbit Versa 3</t>
  </si>
  <si>
    <t>Amazon Echo Show 10</t>
  </si>
  <si>
    <t>Breville Smart Grill</t>
  </si>
  <si>
    <t>Gap High Rise Skinny Jeans</t>
  </si>
  <si>
    <t>Atomic Habits by James Clear</t>
  </si>
  <si>
    <t>CeraVe Hydrating Facial Cleanser</t>
  </si>
  <si>
    <t>YETI Hopper Flip Portable Cooler</t>
  </si>
  <si>
    <t>Apple iPad Air</t>
  </si>
  <si>
    <t>Hamilton Beach FlexBrew Coffee Maker</t>
  </si>
  <si>
    <t>Forever 21 Graphic Tee</t>
  </si>
  <si>
    <t>The Subtle Art of Not Giving a F*ck by Mark Manson</t>
  </si>
  <si>
    <t>NARS Radiant Creamy Concealer</t>
  </si>
  <si>
    <t>Yeti Roadie 24 Cooler</t>
  </si>
  <si>
    <t>Sony PlayStation 5</t>
  </si>
  <si>
    <t>Lululemon Align Leggings</t>
  </si>
  <si>
    <t>The Four Agreements by Don Miguel Ruiz</t>
  </si>
  <si>
    <t>Fenty Beauty Killawatt Highlighter</t>
  </si>
  <si>
    <t>Hydro Flask Wide Mouth Water Bottle</t>
  </si>
  <si>
    <t>Microsoft Surface Laptop 4</t>
  </si>
  <si>
    <t>Keurig K-Mini Coffee Maker</t>
  </si>
  <si>
    <t>Gap Crewneck Sweatshirt</t>
  </si>
  <si>
    <t>Think and Grow Rich by Napoleon Hill</t>
  </si>
  <si>
    <t>The Ordinary Hyaluronic Acid Serum</t>
  </si>
  <si>
    <t>Fitbit Inspire 2</t>
  </si>
  <si>
    <t>Samsung Odyssey G9 Gaming Monitor</t>
  </si>
  <si>
    <t>Instant Pot Ultra</t>
  </si>
  <si>
    <t>Adidas Essential Track Pants</t>
  </si>
  <si>
    <t>The Power of Habit by Charles Duhigg</t>
  </si>
  <si>
    <t>Clinique Dramatically Different Moisturizing Lotion</t>
  </si>
  <si>
    <t>YETI Tundra 45 Cooler</t>
  </si>
  <si>
    <t>Apple AirPods Max</t>
  </si>
  <si>
    <t>Cuisinart Coffee Center</t>
  </si>
  <si>
    <t>Levi's Sherpa Trucker Jacket</t>
  </si>
  <si>
    <t>The Outsiders by S.E. Hinton</t>
  </si>
  <si>
    <t>Laneige Water Sleeping Mask</t>
  </si>
  <si>
    <t>Bose SoundSport Wireless Earbuds</t>
  </si>
  <si>
    <t>Ninja Foodi Pressure Cooker</t>
  </si>
  <si>
    <t>Nike Sportswear Club Fleece Hoodie</t>
  </si>
  <si>
    <t>The Night Circus by Erin Morgenstern</t>
  </si>
  <si>
    <t>GlamGlow Supermud Clearing Treatment</t>
  </si>
  <si>
    <t>Garmin Forerunner 245</t>
  </si>
  <si>
    <t>Google Pixel 6 Pro</t>
  </si>
  <si>
    <t>Breville Nespresso Creatista Plus</t>
  </si>
  <si>
    <t>Under Armour Tech 2.0 T-Shirt</t>
  </si>
  <si>
    <t>The Art of War by Sun Tzu</t>
  </si>
  <si>
    <t>Youth to the People Superfood Antioxidant Cleanser</t>
  </si>
  <si>
    <t>TriggerPoint GRID Foam Roller</t>
  </si>
  <si>
    <t>Apple MacBook Air</t>
  </si>
  <si>
    <t>Cuisinart Custom 14-Cup Food Processor</t>
  </si>
  <si>
    <t>Adidas 3-Stripes Shorts</t>
  </si>
  <si>
    <t>The Hunger Games by Suzanne Collins</t>
  </si>
  <si>
    <t>Neutrogena Hydro Boost Water Gel</t>
  </si>
  <si>
    <t>Yeti Rambler Bottle</t>
  </si>
  <si>
    <t>Samsung Odyssey G7 Gaming Monitor</t>
  </si>
  <si>
    <t>Instant Pot Duo Evo Plus</t>
  </si>
  <si>
    <t>Nike Tempo Running Shorts</t>
  </si>
  <si>
    <t>The Girl with the Dragon Tattoo by Stieg Larsson</t>
  </si>
  <si>
    <t>Paula's Choice Skin Perfecting 2% BHA Liquid Exfoliant</t>
  </si>
  <si>
    <t>Bowflex SelectTech 1090 Adjustable Dumbbells</t>
  </si>
  <si>
    <t>Amazon Fire TV Stick 4K</t>
  </si>
  <si>
    <t>Crock-Pot 6-Quart Slow Cooker</t>
  </si>
  <si>
    <t>Uniqlo Airism Mesh Boxer Briefs</t>
  </si>
  <si>
    <t>The Sun Also Rises by Ernest Hemingway</t>
  </si>
  <si>
    <t>First Aid Beauty Ultra Repair Cream</t>
  </si>
  <si>
    <t>Oakley Holbrook Sunglasses</t>
  </si>
  <si>
    <t>Google Pixelbook Go</t>
  </si>
  <si>
    <t>Dyson V8 Absolute</t>
  </si>
  <si>
    <t>Levi's 511 Slim Fit Jeans</t>
  </si>
  <si>
    <t>The Martian by Andy Weir</t>
  </si>
  <si>
    <t>La Mer CrÃ¨me de la Mer Moisturizer</t>
  </si>
  <si>
    <t>Polar Vantage V2</t>
  </si>
  <si>
    <t>Sonos Beam Soundbar</t>
  </si>
  <si>
    <t>Anova Precision Cooker</t>
  </si>
  <si>
    <t>Nike Dri-FIT Training Shorts</t>
  </si>
  <si>
    <t>Glossier Cloud Paint</t>
  </si>
  <si>
    <t>TRX All-in-One Suspension Training System</t>
  </si>
  <si>
    <t>Logitech G Pro X Wireless Gaming Headset</t>
  </si>
  <si>
    <t>Breville Smart Coffee Grinder Pro</t>
  </si>
  <si>
    <t>Adidas Ultraboost Running Shoes</t>
  </si>
  <si>
    <t>The Road by Cormac McCarthy</t>
  </si>
  <si>
    <t>Tom Ford Black Orchid Perfume</t>
  </si>
  <si>
    <t>GoPro HERO9 Black</t>
  </si>
  <si>
    <t>Apple TV 4K</t>
  </si>
  <si>
    <t>Instant Pot Duo Nova</t>
  </si>
  <si>
    <t>Gap 1969 Original Fit Jeans</t>
  </si>
  <si>
    <t>The Goldfinch by Donna Tartt</t>
  </si>
  <si>
    <t>Dr. Jart+ Cicapair Tiger Grass Color Correcting Treatment</t>
  </si>
  <si>
    <t>Yeti Tundra Haul Portable Wheeled Cooler</t>
  </si>
  <si>
    <t>Samsung Galaxy Watch 4</t>
  </si>
  <si>
    <t>KitchenAid Stand Mixer</t>
  </si>
  <si>
    <t>Lululemon Wunder Under High-Rise Leggings</t>
  </si>
  <si>
    <t>The Great Alone by Kristin Hannah</t>
  </si>
  <si>
    <t>Caudalie Vinoperfect Radiance Serum</t>
  </si>
  <si>
    <t>Bose SoundLink Color Bluetooth Speaker II</t>
  </si>
  <si>
    <t>Canon EOS Rebel T7i DSLR Camera</t>
  </si>
  <si>
    <t>Uniqlo Airism Seamless Boxer Briefs</t>
  </si>
  <si>
    <t>L'Occitane Shea Butter Hand Cream</t>
  </si>
  <si>
    <t>YETI Tundra 65 Cooler</t>
  </si>
  <si>
    <t>Apple MacBook Pro 16-inch</t>
  </si>
  <si>
    <t>iRobot Braava Jet M6</t>
  </si>
  <si>
    <t>Champion Reverse Weave Hoodie</t>
  </si>
  <si>
    <t>The Nightingale by Kristin Hannah</t>
  </si>
  <si>
    <t>Tarte Shape Tape Concealer</t>
  </si>
  <si>
    <t>Amazon Echo Dot (4th Gen)</t>
  </si>
  <si>
    <t>Philips Sonicare DiamondClean Toothbrush</t>
  </si>
  <si>
    <t>Old Navy Mid-Rise Rockstar Super Skinny Jeans</t>
  </si>
  <si>
    <t>The Ordinary Caffeine Solution 5% + EGCG</t>
  </si>
  <si>
    <t>Fitbit Luxe</t>
  </si>
  <si>
    <t>Google Nest Wifi Router</t>
  </si>
  <si>
    <t>Anova Precision Oven</t>
  </si>
  <si>
    <t>Adidas Originals Trefoil Hoodie</t>
  </si>
  <si>
    <t>Fresh Sugar Lip Treatment</t>
  </si>
  <si>
    <t>Hydro Flask Standard Mouth Water Bottle</t>
  </si>
  <si>
    <t>Bose QuietComfort 35 II Wireless Headphones</t>
  </si>
  <si>
    <t>Nespresso Vertuo Next Coffee and Espresso Maker</t>
  </si>
  <si>
    <t>Nike Air Force 1 Sneakers</t>
  </si>
  <si>
    <t>The Handmaid's Tale by Margaret Atwood</t>
  </si>
  <si>
    <t>Sunday Riley Luna Sleeping Night Oil</t>
  </si>
  <si>
    <t>Yeti Rambler 20 oz Tumbler</t>
  </si>
  <si>
    <t>Revenue w/ tax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</si>
</sst>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2">
    <xf numFmtId="0" fontId="0" fillId="0" borderId="0" xfId="0"/>
    <xf numFmtId="0" fontId="18" fillId="33" borderId="11" xfId="0" applyFont="1" applyFill="1" applyBorder="1" applyAlignment="1">
      <alignment horizontal="center" vertical="center"/>
    </xf>
    <xf numFmtId="0" fontId="18" fillId="33" borderId="12" xfId="0" applyFont="1" applyFill="1" applyBorder="1" applyAlignment="1">
      <alignment horizontal="center" vertical="center"/>
    </xf>
    <xf numFmtId="0" fontId="18" fillId="33" borderId="13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4" fontId="0" fillId="0" borderId="17" xfId="0" applyNumberForma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14" fontId="0" fillId="34" borderId="10" xfId="0" applyNumberFormat="1" applyFont="1" applyFill="1" applyBorder="1" applyAlignment="1">
      <alignment horizontal="center" vertical="center"/>
    </xf>
    <xf numFmtId="0" fontId="0" fillId="34" borderId="10" xfId="0" applyFont="1" applyFill="1" applyBorder="1" applyAlignment="1">
      <alignment horizontal="center" vertical="center"/>
    </xf>
    <xf numFmtId="0" fontId="0" fillId="34" borderId="15" xfId="0" applyFont="1" applyFill="1" applyBorder="1" applyAlignment="1">
      <alignment horizontal="center" vertical="center"/>
    </xf>
    <xf numFmtId="14" fontId="0" fillId="0" borderId="10" xfId="0" applyNumberFormat="1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0" fillId="0" borderId="15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34" borderId="12" xfId="0" applyFont="1" applyFill="1" applyBorder="1" applyAlignment="1">
      <alignment horizontal="center" vertical="center"/>
    </xf>
    <xf numFmtId="0" fontId="18" fillId="33" borderId="10" xfId="0" applyFont="1" applyFill="1" applyBorder="1" applyAlignment="1">
      <alignment horizontal="center" vertical="center"/>
    </xf>
    <xf numFmtId="0" fontId="18" fillId="33" borderId="15" xfId="0" applyFont="1" applyFill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5"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1" name="Table1" displayName="Table1" ref="A1:J241" totalsRowShown="0" headerRowDxfId="2" dataDxfId="1" headerRowBorderDxfId="13" tableBorderDxfId="14" totalsRowBorderDxfId="12">
  <autoFilter ref="A1:J241"/>
  <tableColumns count="10">
    <tableColumn id="1" name="Transaction ID" dataDxfId="11"/>
    <tableColumn id="2" name="Date" dataDxfId="10"/>
    <tableColumn id="3" name="Product Category" dataDxfId="9"/>
    <tableColumn id="4" name="Product Name" dataDxfId="8"/>
    <tableColumn id="5" name="Units Sold" dataDxfId="7"/>
    <tableColumn id="6" name="Unit Price" dataDxfId="6"/>
    <tableColumn id="7" name="Total Revenue" dataDxfId="5"/>
    <tableColumn id="8" name="Region" dataDxfId="4"/>
    <tableColumn id="9" name="Payment Method" dataDxfId="3"/>
    <tableColumn id="10" name="Revenue w/ tax" dataDxfId="0">
      <calculatedColumnFormula>(Table1[[#This Row],[Total Revenue]] * 0.18) + Table1[[#This Row],[Total Revenue]]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41"/>
  <sheetViews>
    <sheetView workbookViewId="0"/>
  </sheetViews>
  <sheetFormatPr defaultRowHeight="14.5" x14ac:dyDescent="0.35"/>
  <cols>
    <col min="1" max="1" width="13.81640625" customWidth="1"/>
    <col min="2" max="2" width="10.08984375" bestFit="1" customWidth="1"/>
    <col min="3" max="3" width="16" customWidth="1"/>
    <col min="4" max="4" width="51.1796875" bestFit="1" customWidth="1"/>
    <col min="5" max="5" width="10.54296875" customWidth="1"/>
    <col min="6" max="6" width="10.26953125" customWidth="1"/>
    <col min="7" max="7" width="13.7265625" customWidth="1"/>
    <col min="8" max="8" width="13" bestFit="1" customWidth="1"/>
    <col min="9" max="9" width="16.08984375" customWidth="1"/>
    <col min="10" max="10" width="12.90625" customWidth="1"/>
  </cols>
  <sheetData>
    <row r="1" spans="1:10" ht="24.5" customHeigh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2" t="s">
        <v>253</v>
      </c>
    </row>
    <row r="2" spans="1:10" x14ac:dyDescent="0.35">
      <c r="A2" s="4">
        <v>10001</v>
      </c>
      <c r="B2" s="5">
        <v>45292</v>
      </c>
      <c r="C2" s="6" t="s">
        <v>9</v>
      </c>
      <c r="D2" s="6" t="s">
        <v>10</v>
      </c>
      <c r="E2" s="6">
        <v>2</v>
      </c>
      <c r="F2" s="6">
        <v>999.99</v>
      </c>
      <c r="G2" s="6">
        <v>1999.98</v>
      </c>
      <c r="H2" s="6" t="s">
        <v>11</v>
      </c>
      <c r="I2" s="7" t="s">
        <v>12</v>
      </c>
      <c r="J2" s="18">
        <f>(Table1[[#This Row],[Total Revenue]] * 0.18) + Table1[[#This Row],[Total Revenue]]</f>
        <v>2359.9764</v>
      </c>
    </row>
    <row r="3" spans="1:10" x14ac:dyDescent="0.35">
      <c r="A3" s="4">
        <v>10002</v>
      </c>
      <c r="B3" s="5">
        <v>45293</v>
      </c>
      <c r="C3" s="6" t="s">
        <v>13</v>
      </c>
      <c r="D3" s="6" t="s">
        <v>14</v>
      </c>
      <c r="E3" s="6">
        <v>1</v>
      </c>
      <c r="F3" s="6">
        <v>499.99</v>
      </c>
      <c r="G3" s="6">
        <v>499.99</v>
      </c>
      <c r="H3" s="6" t="s">
        <v>15</v>
      </c>
      <c r="I3" s="7" t="s">
        <v>16</v>
      </c>
      <c r="J3" s="6">
        <f>(Table1[[#This Row],[Total Revenue]] * 0.18) + Table1[[#This Row],[Total Revenue]]</f>
        <v>589.98820000000001</v>
      </c>
    </row>
    <row r="4" spans="1:10" x14ac:dyDescent="0.35">
      <c r="A4" s="4">
        <v>10003</v>
      </c>
      <c r="B4" s="5">
        <v>45294</v>
      </c>
      <c r="C4" s="6" t="s">
        <v>17</v>
      </c>
      <c r="D4" s="6" t="s">
        <v>18</v>
      </c>
      <c r="E4" s="6">
        <v>3</v>
      </c>
      <c r="F4" s="6">
        <v>69.989999999999995</v>
      </c>
      <c r="G4" s="6">
        <v>209.97</v>
      </c>
      <c r="H4" s="6" t="s">
        <v>19</v>
      </c>
      <c r="I4" s="7" t="s">
        <v>20</v>
      </c>
      <c r="J4" s="6">
        <f>(Table1[[#This Row],[Total Revenue]] * 0.18) + Table1[[#This Row],[Total Revenue]]</f>
        <v>247.7646</v>
      </c>
    </row>
    <row r="5" spans="1:10" x14ac:dyDescent="0.35">
      <c r="A5" s="4">
        <v>10004</v>
      </c>
      <c r="B5" s="5">
        <v>45295</v>
      </c>
      <c r="C5" s="6" t="s">
        <v>21</v>
      </c>
      <c r="D5" s="6" t="s">
        <v>22</v>
      </c>
      <c r="E5" s="6">
        <v>4</v>
      </c>
      <c r="F5" s="6">
        <v>15.99</v>
      </c>
      <c r="G5" s="6">
        <v>63.96</v>
      </c>
      <c r="H5" s="6" t="s">
        <v>11</v>
      </c>
      <c r="I5" s="7" t="s">
        <v>12</v>
      </c>
      <c r="J5" s="6">
        <f>(Table1[[#This Row],[Total Revenue]] * 0.18) + Table1[[#This Row],[Total Revenue]]</f>
        <v>75.472800000000007</v>
      </c>
    </row>
    <row r="6" spans="1:10" x14ac:dyDescent="0.35">
      <c r="A6" s="4">
        <v>10005</v>
      </c>
      <c r="B6" s="5">
        <v>45296</v>
      </c>
      <c r="C6" s="6" t="s">
        <v>23</v>
      </c>
      <c r="D6" s="6" t="s">
        <v>24</v>
      </c>
      <c r="E6" s="6">
        <v>1</v>
      </c>
      <c r="F6" s="6">
        <v>89.99</v>
      </c>
      <c r="G6" s="6">
        <v>89.99</v>
      </c>
      <c r="H6" s="6" t="s">
        <v>15</v>
      </c>
      <c r="I6" s="7" t="s">
        <v>16</v>
      </c>
      <c r="J6" s="6">
        <f>(Table1[[#This Row],[Total Revenue]] * 0.18) + Table1[[#This Row],[Total Revenue]]</f>
        <v>106.18819999999999</v>
      </c>
    </row>
    <row r="7" spans="1:10" x14ac:dyDescent="0.35">
      <c r="A7" s="4">
        <v>10006</v>
      </c>
      <c r="B7" s="5">
        <v>45297</v>
      </c>
      <c r="C7" s="6" t="s">
        <v>25</v>
      </c>
      <c r="D7" s="6" t="s">
        <v>26</v>
      </c>
      <c r="E7" s="6">
        <v>5</v>
      </c>
      <c r="F7" s="6">
        <v>29.99</v>
      </c>
      <c r="G7" s="6">
        <v>149.94999999999999</v>
      </c>
      <c r="H7" s="6" t="s">
        <v>19</v>
      </c>
      <c r="I7" s="7" t="s">
        <v>12</v>
      </c>
      <c r="J7" s="6">
        <f>(Table1[[#This Row],[Total Revenue]] * 0.18) + Table1[[#This Row],[Total Revenue]]</f>
        <v>176.94099999999997</v>
      </c>
    </row>
    <row r="8" spans="1:10" x14ac:dyDescent="0.35">
      <c r="A8" s="4">
        <v>10007</v>
      </c>
      <c r="B8" s="5">
        <v>45298</v>
      </c>
      <c r="C8" s="6" t="s">
        <v>9</v>
      </c>
      <c r="D8" s="6" t="s">
        <v>27</v>
      </c>
      <c r="E8" s="6">
        <v>1</v>
      </c>
      <c r="F8" s="6">
        <v>2499.9899999999998</v>
      </c>
      <c r="G8" s="6">
        <v>2499.9899999999998</v>
      </c>
      <c r="H8" s="6" t="s">
        <v>11</v>
      </c>
      <c r="I8" s="7" t="s">
        <v>12</v>
      </c>
      <c r="J8" s="6">
        <f>(Table1[[#This Row],[Total Revenue]] * 0.18) + Table1[[#This Row],[Total Revenue]]</f>
        <v>2949.9881999999998</v>
      </c>
    </row>
    <row r="9" spans="1:10" x14ac:dyDescent="0.35">
      <c r="A9" s="4">
        <v>10008</v>
      </c>
      <c r="B9" s="5">
        <v>45299</v>
      </c>
      <c r="C9" s="6" t="s">
        <v>13</v>
      </c>
      <c r="D9" s="6" t="s">
        <v>28</v>
      </c>
      <c r="E9" s="6">
        <v>2</v>
      </c>
      <c r="F9" s="6">
        <v>599.99</v>
      </c>
      <c r="G9" s="6">
        <v>1199.98</v>
      </c>
      <c r="H9" s="6" t="s">
        <v>15</v>
      </c>
      <c r="I9" s="7" t="s">
        <v>16</v>
      </c>
      <c r="J9" s="6">
        <f>(Table1[[#This Row],[Total Revenue]] * 0.18) + Table1[[#This Row],[Total Revenue]]</f>
        <v>1415.9764</v>
      </c>
    </row>
    <row r="10" spans="1:10" x14ac:dyDescent="0.35">
      <c r="A10" s="4">
        <v>10009</v>
      </c>
      <c r="B10" s="5">
        <v>45300</v>
      </c>
      <c r="C10" s="6" t="s">
        <v>17</v>
      </c>
      <c r="D10" s="6" t="s">
        <v>29</v>
      </c>
      <c r="E10" s="6">
        <v>6</v>
      </c>
      <c r="F10" s="6">
        <v>89.99</v>
      </c>
      <c r="G10" s="6">
        <v>539.94000000000005</v>
      </c>
      <c r="H10" s="6" t="s">
        <v>19</v>
      </c>
      <c r="I10" s="7" t="s">
        <v>20</v>
      </c>
      <c r="J10" s="6">
        <f>(Table1[[#This Row],[Total Revenue]] * 0.18) + Table1[[#This Row],[Total Revenue]]</f>
        <v>637.12920000000008</v>
      </c>
    </row>
    <row r="11" spans="1:10" x14ac:dyDescent="0.35">
      <c r="A11" s="4">
        <v>10010</v>
      </c>
      <c r="B11" s="5">
        <v>45301</v>
      </c>
      <c r="C11" s="6" t="s">
        <v>21</v>
      </c>
      <c r="D11" s="6" t="s">
        <v>30</v>
      </c>
      <c r="E11" s="6">
        <v>2</v>
      </c>
      <c r="F11" s="6">
        <v>25.99</v>
      </c>
      <c r="G11" s="6">
        <v>51.98</v>
      </c>
      <c r="H11" s="6" t="s">
        <v>11</v>
      </c>
      <c r="I11" s="7" t="s">
        <v>12</v>
      </c>
      <c r="J11" s="6">
        <f>(Table1[[#This Row],[Total Revenue]] * 0.18) + Table1[[#This Row],[Total Revenue]]</f>
        <v>61.336399999999998</v>
      </c>
    </row>
    <row r="12" spans="1:10" x14ac:dyDescent="0.35">
      <c r="A12" s="4">
        <v>10011</v>
      </c>
      <c r="B12" s="5">
        <v>45302</v>
      </c>
      <c r="C12" s="6" t="s">
        <v>23</v>
      </c>
      <c r="D12" s="6" t="s">
        <v>31</v>
      </c>
      <c r="E12" s="6">
        <v>1</v>
      </c>
      <c r="F12" s="6">
        <v>129.99</v>
      </c>
      <c r="G12" s="6">
        <v>129.99</v>
      </c>
      <c r="H12" s="6" t="s">
        <v>15</v>
      </c>
      <c r="I12" s="7" t="s">
        <v>16</v>
      </c>
      <c r="J12" s="6">
        <f>(Table1[[#This Row],[Total Revenue]] * 0.18) + Table1[[#This Row],[Total Revenue]]</f>
        <v>153.38820000000001</v>
      </c>
    </row>
    <row r="13" spans="1:10" x14ac:dyDescent="0.35">
      <c r="A13" s="4">
        <v>10012</v>
      </c>
      <c r="B13" s="5">
        <v>45303</v>
      </c>
      <c r="C13" s="6" t="s">
        <v>25</v>
      </c>
      <c r="D13" s="6" t="s">
        <v>32</v>
      </c>
      <c r="E13" s="6">
        <v>3</v>
      </c>
      <c r="F13" s="6">
        <v>199.99</v>
      </c>
      <c r="G13" s="6">
        <v>599.97</v>
      </c>
      <c r="H13" s="6" t="s">
        <v>19</v>
      </c>
      <c r="I13" s="7" t="s">
        <v>12</v>
      </c>
      <c r="J13" s="6">
        <f>(Table1[[#This Row],[Total Revenue]] * 0.18) + Table1[[#This Row],[Total Revenue]]</f>
        <v>707.96460000000002</v>
      </c>
    </row>
    <row r="14" spans="1:10" x14ac:dyDescent="0.35">
      <c r="A14" s="4">
        <v>10013</v>
      </c>
      <c r="B14" s="5">
        <v>45304</v>
      </c>
      <c r="C14" s="6" t="s">
        <v>9</v>
      </c>
      <c r="D14" s="6" t="s">
        <v>33</v>
      </c>
      <c r="E14" s="6">
        <v>2</v>
      </c>
      <c r="F14" s="6">
        <v>749.99</v>
      </c>
      <c r="G14" s="6">
        <v>1499.98</v>
      </c>
      <c r="H14" s="6" t="s">
        <v>11</v>
      </c>
      <c r="I14" s="7" t="s">
        <v>12</v>
      </c>
      <c r="J14" s="6">
        <f>(Table1[[#This Row],[Total Revenue]] * 0.18) + Table1[[#This Row],[Total Revenue]]</f>
        <v>1769.9764</v>
      </c>
    </row>
    <row r="15" spans="1:10" x14ac:dyDescent="0.35">
      <c r="A15" s="4">
        <v>10014</v>
      </c>
      <c r="B15" s="5">
        <v>45305</v>
      </c>
      <c r="C15" s="6" t="s">
        <v>13</v>
      </c>
      <c r="D15" s="6" t="s">
        <v>34</v>
      </c>
      <c r="E15" s="6">
        <v>1</v>
      </c>
      <c r="F15" s="6">
        <v>189.99</v>
      </c>
      <c r="G15" s="6">
        <v>189.99</v>
      </c>
      <c r="H15" s="6" t="s">
        <v>15</v>
      </c>
      <c r="I15" s="7" t="s">
        <v>16</v>
      </c>
      <c r="J15" s="6">
        <f>(Table1[[#This Row],[Total Revenue]] * 0.18) + Table1[[#This Row],[Total Revenue]]</f>
        <v>224.18819999999999</v>
      </c>
    </row>
    <row r="16" spans="1:10" x14ac:dyDescent="0.35">
      <c r="A16" s="4">
        <v>10015</v>
      </c>
      <c r="B16" s="5">
        <v>45306</v>
      </c>
      <c r="C16" s="6" t="s">
        <v>17</v>
      </c>
      <c r="D16" s="6" t="s">
        <v>35</v>
      </c>
      <c r="E16" s="6">
        <v>2</v>
      </c>
      <c r="F16" s="6">
        <v>249.99</v>
      </c>
      <c r="G16" s="6">
        <v>499.98</v>
      </c>
      <c r="H16" s="6" t="s">
        <v>19</v>
      </c>
      <c r="I16" s="7" t="s">
        <v>20</v>
      </c>
      <c r="J16" s="6">
        <f>(Table1[[#This Row],[Total Revenue]] * 0.18) + Table1[[#This Row],[Total Revenue]]</f>
        <v>589.97640000000001</v>
      </c>
    </row>
    <row r="17" spans="1:10" x14ac:dyDescent="0.35">
      <c r="A17" s="4">
        <v>10016</v>
      </c>
      <c r="B17" s="5">
        <v>45307</v>
      </c>
      <c r="C17" s="6" t="s">
        <v>21</v>
      </c>
      <c r="D17" s="6" t="s">
        <v>36</v>
      </c>
      <c r="E17" s="6">
        <v>3</v>
      </c>
      <c r="F17" s="6">
        <v>35.99</v>
      </c>
      <c r="G17" s="6">
        <v>107.97</v>
      </c>
      <c r="H17" s="6" t="s">
        <v>11</v>
      </c>
      <c r="I17" s="7" t="s">
        <v>12</v>
      </c>
      <c r="J17" s="6">
        <f>(Table1[[#This Row],[Total Revenue]] * 0.18) + Table1[[#This Row],[Total Revenue]]</f>
        <v>127.4046</v>
      </c>
    </row>
    <row r="18" spans="1:10" x14ac:dyDescent="0.35">
      <c r="A18" s="4">
        <v>10017</v>
      </c>
      <c r="B18" s="5">
        <v>45308</v>
      </c>
      <c r="C18" s="6" t="s">
        <v>23</v>
      </c>
      <c r="D18" s="6" t="s">
        <v>37</v>
      </c>
      <c r="E18" s="6">
        <v>1</v>
      </c>
      <c r="F18" s="6">
        <v>399.99</v>
      </c>
      <c r="G18" s="6">
        <v>399.99</v>
      </c>
      <c r="H18" s="6" t="s">
        <v>15</v>
      </c>
      <c r="I18" s="7" t="s">
        <v>16</v>
      </c>
      <c r="J18" s="6">
        <f>(Table1[[#This Row],[Total Revenue]] * 0.18) + Table1[[#This Row],[Total Revenue]]</f>
        <v>471.98820000000001</v>
      </c>
    </row>
    <row r="19" spans="1:10" x14ac:dyDescent="0.35">
      <c r="A19" s="4">
        <v>10018</v>
      </c>
      <c r="B19" s="5">
        <v>45309</v>
      </c>
      <c r="C19" s="6" t="s">
        <v>25</v>
      </c>
      <c r="D19" s="6" t="s">
        <v>38</v>
      </c>
      <c r="E19" s="6">
        <v>4</v>
      </c>
      <c r="F19" s="6">
        <v>119.99</v>
      </c>
      <c r="G19" s="6">
        <v>479.96</v>
      </c>
      <c r="H19" s="6" t="s">
        <v>19</v>
      </c>
      <c r="I19" s="7" t="s">
        <v>12</v>
      </c>
      <c r="J19" s="6">
        <f>(Table1[[#This Row],[Total Revenue]] * 0.18) + Table1[[#This Row],[Total Revenue]]</f>
        <v>566.3528</v>
      </c>
    </row>
    <row r="20" spans="1:10" x14ac:dyDescent="0.35">
      <c r="A20" s="4">
        <v>10019</v>
      </c>
      <c r="B20" s="5">
        <v>45310</v>
      </c>
      <c r="C20" s="6" t="s">
        <v>9</v>
      </c>
      <c r="D20" s="6" t="s">
        <v>39</v>
      </c>
      <c r="E20" s="6">
        <v>2</v>
      </c>
      <c r="F20" s="6">
        <v>499.99</v>
      </c>
      <c r="G20" s="6">
        <v>999.98</v>
      </c>
      <c r="H20" s="6" t="s">
        <v>11</v>
      </c>
      <c r="I20" s="7" t="s">
        <v>12</v>
      </c>
      <c r="J20" s="6">
        <f>(Table1[[#This Row],[Total Revenue]] * 0.18) + Table1[[#This Row],[Total Revenue]]</f>
        <v>1179.9764</v>
      </c>
    </row>
    <row r="21" spans="1:10" x14ac:dyDescent="0.35">
      <c r="A21" s="4">
        <v>10020</v>
      </c>
      <c r="B21" s="5">
        <v>45311</v>
      </c>
      <c r="C21" s="6" t="s">
        <v>13</v>
      </c>
      <c r="D21" s="6" t="s">
        <v>40</v>
      </c>
      <c r="E21" s="6">
        <v>1</v>
      </c>
      <c r="F21" s="6">
        <v>99.99</v>
      </c>
      <c r="G21" s="6">
        <v>99.99</v>
      </c>
      <c r="H21" s="6" t="s">
        <v>15</v>
      </c>
      <c r="I21" s="7" t="s">
        <v>16</v>
      </c>
      <c r="J21" s="6">
        <f>(Table1[[#This Row],[Total Revenue]] * 0.18) + Table1[[#This Row],[Total Revenue]]</f>
        <v>117.98819999999999</v>
      </c>
    </row>
    <row r="22" spans="1:10" x14ac:dyDescent="0.35">
      <c r="A22" s="4">
        <v>10021</v>
      </c>
      <c r="B22" s="5">
        <v>45312</v>
      </c>
      <c r="C22" s="6" t="s">
        <v>17</v>
      </c>
      <c r="D22" s="6" t="s">
        <v>41</v>
      </c>
      <c r="E22" s="6">
        <v>3</v>
      </c>
      <c r="F22" s="6">
        <v>59.99</v>
      </c>
      <c r="G22" s="6">
        <v>179.97</v>
      </c>
      <c r="H22" s="6" t="s">
        <v>19</v>
      </c>
      <c r="I22" s="7" t="s">
        <v>20</v>
      </c>
      <c r="J22" s="6">
        <f>(Table1[[#This Row],[Total Revenue]] * 0.18) + Table1[[#This Row],[Total Revenue]]</f>
        <v>212.3646</v>
      </c>
    </row>
    <row r="23" spans="1:10" x14ac:dyDescent="0.35">
      <c r="A23" s="4">
        <v>10022</v>
      </c>
      <c r="B23" s="5">
        <v>45313</v>
      </c>
      <c r="C23" s="6" t="s">
        <v>21</v>
      </c>
      <c r="D23" s="6" t="s">
        <v>42</v>
      </c>
      <c r="E23" s="6">
        <v>2</v>
      </c>
      <c r="F23" s="6">
        <v>22.99</v>
      </c>
      <c r="G23" s="6">
        <v>45.98</v>
      </c>
      <c r="H23" s="6" t="s">
        <v>11</v>
      </c>
      <c r="I23" s="7" t="s">
        <v>12</v>
      </c>
      <c r="J23" s="6">
        <f>(Table1[[#This Row],[Total Revenue]] * 0.18) + Table1[[#This Row],[Total Revenue]]</f>
        <v>54.256399999999999</v>
      </c>
    </row>
    <row r="24" spans="1:10" x14ac:dyDescent="0.35">
      <c r="A24" s="4">
        <v>10023</v>
      </c>
      <c r="B24" s="5">
        <v>45314</v>
      </c>
      <c r="C24" s="6" t="s">
        <v>23</v>
      </c>
      <c r="D24" s="6" t="s">
        <v>43</v>
      </c>
      <c r="E24" s="6">
        <v>1</v>
      </c>
      <c r="F24" s="6">
        <v>49.99</v>
      </c>
      <c r="G24" s="6">
        <v>49.99</v>
      </c>
      <c r="H24" s="6" t="s">
        <v>15</v>
      </c>
      <c r="I24" s="7" t="s">
        <v>16</v>
      </c>
      <c r="J24" s="6">
        <f>(Table1[[#This Row],[Total Revenue]] * 0.18) + Table1[[#This Row],[Total Revenue]]</f>
        <v>58.988200000000006</v>
      </c>
    </row>
    <row r="25" spans="1:10" x14ac:dyDescent="0.35">
      <c r="A25" s="4">
        <v>10024</v>
      </c>
      <c r="B25" s="5">
        <v>45315</v>
      </c>
      <c r="C25" s="6" t="s">
        <v>25</v>
      </c>
      <c r="D25" s="6" t="s">
        <v>44</v>
      </c>
      <c r="E25" s="6">
        <v>3</v>
      </c>
      <c r="F25" s="6">
        <v>29.99</v>
      </c>
      <c r="G25" s="6">
        <v>89.97</v>
      </c>
      <c r="H25" s="6" t="s">
        <v>19</v>
      </c>
      <c r="I25" s="7" t="s">
        <v>12</v>
      </c>
      <c r="J25" s="6">
        <f>(Table1[[#This Row],[Total Revenue]] * 0.18) + Table1[[#This Row],[Total Revenue]]</f>
        <v>106.16459999999999</v>
      </c>
    </row>
    <row r="26" spans="1:10" x14ac:dyDescent="0.35">
      <c r="A26" s="4">
        <v>10025</v>
      </c>
      <c r="B26" s="5">
        <v>45316</v>
      </c>
      <c r="C26" s="6" t="s">
        <v>9</v>
      </c>
      <c r="D26" s="6" t="s">
        <v>45</v>
      </c>
      <c r="E26" s="6">
        <v>1</v>
      </c>
      <c r="F26" s="6">
        <v>299.99</v>
      </c>
      <c r="G26" s="6">
        <v>299.99</v>
      </c>
      <c r="H26" s="6" t="s">
        <v>11</v>
      </c>
      <c r="I26" s="7" t="s">
        <v>12</v>
      </c>
      <c r="J26" s="6">
        <f>(Table1[[#This Row],[Total Revenue]] * 0.18) + Table1[[#This Row],[Total Revenue]]</f>
        <v>353.98820000000001</v>
      </c>
    </row>
    <row r="27" spans="1:10" x14ac:dyDescent="0.35">
      <c r="A27" s="4">
        <v>10026</v>
      </c>
      <c r="B27" s="5">
        <v>45317</v>
      </c>
      <c r="C27" s="6" t="s">
        <v>13</v>
      </c>
      <c r="D27" s="6" t="s">
        <v>46</v>
      </c>
      <c r="E27" s="6">
        <v>1</v>
      </c>
      <c r="F27" s="6">
        <v>179.99</v>
      </c>
      <c r="G27" s="6">
        <v>179.99</v>
      </c>
      <c r="H27" s="6" t="s">
        <v>15</v>
      </c>
      <c r="I27" s="7" t="s">
        <v>16</v>
      </c>
      <c r="J27" s="6">
        <f>(Table1[[#This Row],[Total Revenue]] * 0.18) + Table1[[#This Row],[Total Revenue]]</f>
        <v>212.38820000000001</v>
      </c>
    </row>
    <row r="28" spans="1:10" x14ac:dyDescent="0.35">
      <c r="A28" s="4">
        <v>10027</v>
      </c>
      <c r="B28" s="5">
        <v>45318</v>
      </c>
      <c r="C28" s="6" t="s">
        <v>17</v>
      </c>
      <c r="D28" s="6" t="s">
        <v>47</v>
      </c>
      <c r="E28" s="6">
        <v>2</v>
      </c>
      <c r="F28" s="6">
        <v>179.99</v>
      </c>
      <c r="G28" s="6">
        <v>359.98</v>
      </c>
      <c r="H28" s="6" t="s">
        <v>19</v>
      </c>
      <c r="I28" s="7" t="s">
        <v>20</v>
      </c>
      <c r="J28" s="6">
        <f>(Table1[[#This Row],[Total Revenue]] * 0.18) + Table1[[#This Row],[Total Revenue]]</f>
        <v>424.77640000000002</v>
      </c>
    </row>
    <row r="29" spans="1:10" x14ac:dyDescent="0.35">
      <c r="A29" s="4">
        <v>10028</v>
      </c>
      <c r="B29" s="5">
        <v>45319</v>
      </c>
      <c r="C29" s="6" t="s">
        <v>21</v>
      </c>
      <c r="D29" s="6" t="s">
        <v>48</v>
      </c>
      <c r="E29" s="6">
        <v>3</v>
      </c>
      <c r="F29" s="6">
        <v>12.99</v>
      </c>
      <c r="G29" s="6">
        <v>38.97</v>
      </c>
      <c r="H29" s="6" t="s">
        <v>11</v>
      </c>
      <c r="I29" s="7" t="s">
        <v>12</v>
      </c>
      <c r="J29" s="6">
        <f>(Table1[[#This Row],[Total Revenue]] * 0.18) + Table1[[#This Row],[Total Revenue]]</f>
        <v>45.9846</v>
      </c>
    </row>
    <row r="30" spans="1:10" x14ac:dyDescent="0.35">
      <c r="A30" s="4">
        <v>10029</v>
      </c>
      <c r="B30" s="5">
        <v>45320</v>
      </c>
      <c r="C30" s="6" t="s">
        <v>23</v>
      </c>
      <c r="D30" s="6" t="s">
        <v>49</v>
      </c>
      <c r="E30" s="6">
        <v>1</v>
      </c>
      <c r="F30" s="6">
        <v>29.99</v>
      </c>
      <c r="G30" s="6">
        <v>29.99</v>
      </c>
      <c r="H30" s="6" t="s">
        <v>15</v>
      </c>
      <c r="I30" s="7" t="s">
        <v>16</v>
      </c>
      <c r="J30" s="6">
        <f>(Table1[[#This Row],[Total Revenue]] * 0.18) + Table1[[#This Row],[Total Revenue]]</f>
        <v>35.388199999999998</v>
      </c>
    </row>
    <row r="31" spans="1:10" x14ac:dyDescent="0.35">
      <c r="A31" s="4">
        <v>10030</v>
      </c>
      <c r="B31" s="5">
        <v>45321</v>
      </c>
      <c r="C31" s="6" t="s">
        <v>25</v>
      </c>
      <c r="D31" s="6" t="s">
        <v>50</v>
      </c>
      <c r="E31" s="6">
        <v>2</v>
      </c>
      <c r="F31" s="6">
        <v>129.99</v>
      </c>
      <c r="G31" s="6">
        <v>259.98</v>
      </c>
      <c r="H31" s="6" t="s">
        <v>19</v>
      </c>
      <c r="I31" s="7" t="s">
        <v>12</v>
      </c>
      <c r="J31" s="6">
        <f>(Table1[[#This Row],[Total Revenue]] * 0.18) + Table1[[#This Row],[Total Revenue]]</f>
        <v>306.77640000000002</v>
      </c>
    </row>
    <row r="32" spans="1:10" x14ac:dyDescent="0.35">
      <c r="A32" s="4">
        <v>10031</v>
      </c>
      <c r="B32" s="5">
        <v>45322</v>
      </c>
      <c r="C32" s="6" t="s">
        <v>9</v>
      </c>
      <c r="D32" s="6" t="s">
        <v>51</v>
      </c>
      <c r="E32" s="6">
        <v>2</v>
      </c>
      <c r="F32" s="6">
        <v>349.99</v>
      </c>
      <c r="G32" s="6">
        <v>699.98</v>
      </c>
      <c r="H32" s="6" t="s">
        <v>11</v>
      </c>
      <c r="I32" s="7" t="s">
        <v>12</v>
      </c>
      <c r="J32" s="6">
        <f>(Table1[[#This Row],[Total Revenue]] * 0.18) + Table1[[#This Row],[Total Revenue]]</f>
        <v>825.97640000000001</v>
      </c>
    </row>
    <row r="33" spans="1:10" x14ac:dyDescent="0.35">
      <c r="A33" s="4">
        <v>10032</v>
      </c>
      <c r="B33" s="5">
        <v>45323</v>
      </c>
      <c r="C33" s="6" t="s">
        <v>13</v>
      </c>
      <c r="D33" s="6" t="s">
        <v>52</v>
      </c>
      <c r="E33" s="6">
        <v>3</v>
      </c>
      <c r="F33" s="6">
        <v>89.99</v>
      </c>
      <c r="G33" s="6">
        <v>269.97000000000003</v>
      </c>
      <c r="H33" s="6" t="s">
        <v>15</v>
      </c>
      <c r="I33" s="7" t="s">
        <v>16</v>
      </c>
      <c r="J33" s="6">
        <f>(Table1[[#This Row],[Total Revenue]] * 0.18) + Table1[[#This Row],[Total Revenue]]</f>
        <v>318.56460000000004</v>
      </c>
    </row>
    <row r="34" spans="1:10" x14ac:dyDescent="0.35">
      <c r="A34" s="4">
        <v>10033</v>
      </c>
      <c r="B34" s="5">
        <v>45324</v>
      </c>
      <c r="C34" s="6" t="s">
        <v>17</v>
      </c>
      <c r="D34" s="6" t="s">
        <v>53</v>
      </c>
      <c r="E34" s="6">
        <v>5</v>
      </c>
      <c r="F34" s="6">
        <v>29.99</v>
      </c>
      <c r="G34" s="6">
        <v>149.94999999999999</v>
      </c>
      <c r="H34" s="6" t="s">
        <v>19</v>
      </c>
      <c r="I34" s="7" t="s">
        <v>20</v>
      </c>
      <c r="J34" s="6">
        <f>(Table1[[#This Row],[Total Revenue]] * 0.18) + Table1[[#This Row],[Total Revenue]]</f>
        <v>176.94099999999997</v>
      </c>
    </row>
    <row r="35" spans="1:10" x14ac:dyDescent="0.35">
      <c r="A35" s="4">
        <v>10034</v>
      </c>
      <c r="B35" s="5">
        <v>45325</v>
      </c>
      <c r="C35" s="6" t="s">
        <v>21</v>
      </c>
      <c r="D35" s="6" t="s">
        <v>54</v>
      </c>
      <c r="E35" s="6">
        <v>4</v>
      </c>
      <c r="F35" s="6">
        <v>19.989999999999998</v>
      </c>
      <c r="G35" s="6">
        <v>79.959999999999994</v>
      </c>
      <c r="H35" s="6" t="s">
        <v>11</v>
      </c>
      <c r="I35" s="7" t="s">
        <v>12</v>
      </c>
      <c r="J35" s="6">
        <f>(Table1[[#This Row],[Total Revenue]] * 0.18) + Table1[[#This Row],[Total Revenue]]</f>
        <v>94.352799999999988</v>
      </c>
    </row>
    <row r="36" spans="1:10" x14ac:dyDescent="0.35">
      <c r="A36" s="4">
        <v>10035</v>
      </c>
      <c r="B36" s="5">
        <v>45326</v>
      </c>
      <c r="C36" s="6" t="s">
        <v>23</v>
      </c>
      <c r="D36" s="6" t="s">
        <v>55</v>
      </c>
      <c r="E36" s="6">
        <v>2</v>
      </c>
      <c r="F36" s="6">
        <v>39.99</v>
      </c>
      <c r="G36" s="6">
        <v>79.98</v>
      </c>
      <c r="H36" s="6" t="s">
        <v>15</v>
      </c>
      <c r="I36" s="7" t="s">
        <v>16</v>
      </c>
      <c r="J36" s="6">
        <f>(Table1[[#This Row],[Total Revenue]] * 0.18) + Table1[[#This Row],[Total Revenue]]</f>
        <v>94.376400000000004</v>
      </c>
    </row>
    <row r="37" spans="1:10" x14ac:dyDescent="0.35">
      <c r="A37" s="4">
        <v>10036</v>
      </c>
      <c r="B37" s="5">
        <v>45327</v>
      </c>
      <c r="C37" s="6" t="s">
        <v>25</v>
      </c>
      <c r="D37" s="6" t="s">
        <v>56</v>
      </c>
      <c r="E37" s="6">
        <v>1</v>
      </c>
      <c r="F37" s="6">
        <v>1895</v>
      </c>
      <c r="G37" s="6">
        <v>1895</v>
      </c>
      <c r="H37" s="6" t="s">
        <v>19</v>
      </c>
      <c r="I37" s="7" t="s">
        <v>12</v>
      </c>
      <c r="J37" s="6">
        <f>(Table1[[#This Row],[Total Revenue]] * 0.18) + Table1[[#This Row],[Total Revenue]]</f>
        <v>2236.1</v>
      </c>
    </row>
    <row r="38" spans="1:10" x14ac:dyDescent="0.35">
      <c r="A38" s="4">
        <v>10037</v>
      </c>
      <c r="B38" s="5">
        <v>45328</v>
      </c>
      <c r="C38" s="6" t="s">
        <v>9</v>
      </c>
      <c r="D38" s="6" t="s">
        <v>57</v>
      </c>
      <c r="E38" s="6">
        <v>3</v>
      </c>
      <c r="F38" s="6">
        <v>399.99</v>
      </c>
      <c r="G38" s="6">
        <v>1199.97</v>
      </c>
      <c r="H38" s="6" t="s">
        <v>11</v>
      </c>
      <c r="I38" s="7" t="s">
        <v>12</v>
      </c>
      <c r="J38" s="6">
        <f>(Table1[[#This Row],[Total Revenue]] * 0.18) + Table1[[#This Row],[Total Revenue]]</f>
        <v>1415.9646</v>
      </c>
    </row>
    <row r="39" spans="1:10" x14ac:dyDescent="0.35">
      <c r="A39" s="4">
        <v>10038</v>
      </c>
      <c r="B39" s="5">
        <v>45329</v>
      </c>
      <c r="C39" s="6" t="s">
        <v>13</v>
      </c>
      <c r="D39" s="6" t="s">
        <v>58</v>
      </c>
      <c r="E39" s="6">
        <v>2</v>
      </c>
      <c r="F39" s="6">
        <v>799.99</v>
      </c>
      <c r="G39" s="6">
        <v>1599.98</v>
      </c>
      <c r="H39" s="6" t="s">
        <v>15</v>
      </c>
      <c r="I39" s="7" t="s">
        <v>16</v>
      </c>
      <c r="J39" s="6">
        <f>(Table1[[#This Row],[Total Revenue]] * 0.18) + Table1[[#This Row],[Total Revenue]]</f>
        <v>1887.9764</v>
      </c>
    </row>
    <row r="40" spans="1:10" x14ac:dyDescent="0.35">
      <c r="A40" s="4">
        <v>10039</v>
      </c>
      <c r="B40" s="5">
        <v>45330</v>
      </c>
      <c r="C40" s="6" t="s">
        <v>17</v>
      </c>
      <c r="D40" s="6" t="s">
        <v>59</v>
      </c>
      <c r="E40" s="6">
        <v>4</v>
      </c>
      <c r="F40" s="6">
        <v>59.99</v>
      </c>
      <c r="G40" s="6">
        <v>239.96</v>
      </c>
      <c r="H40" s="6" t="s">
        <v>19</v>
      </c>
      <c r="I40" s="7" t="s">
        <v>20</v>
      </c>
      <c r="J40" s="6">
        <f>(Table1[[#This Row],[Total Revenue]] * 0.18) + Table1[[#This Row],[Total Revenue]]</f>
        <v>283.15280000000001</v>
      </c>
    </row>
    <row r="41" spans="1:10" x14ac:dyDescent="0.35">
      <c r="A41" s="4">
        <v>10040</v>
      </c>
      <c r="B41" s="5">
        <v>45331</v>
      </c>
      <c r="C41" s="6" t="s">
        <v>21</v>
      </c>
      <c r="D41" s="6" t="s">
        <v>60</v>
      </c>
      <c r="E41" s="6">
        <v>3</v>
      </c>
      <c r="F41" s="6">
        <v>24.99</v>
      </c>
      <c r="G41" s="6">
        <v>74.97</v>
      </c>
      <c r="H41" s="6" t="s">
        <v>11</v>
      </c>
      <c r="I41" s="7" t="s">
        <v>12</v>
      </c>
      <c r="J41" s="6">
        <f>(Table1[[#This Row],[Total Revenue]] * 0.18) + Table1[[#This Row],[Total Revenue]]</f>
        <v>88.464600000000004</v>
      </c>
    </row>
    <row r="42" spans="1:10" x14ac:dyDescent="0.35">
      <c r="A42" s="4">
        <v>10041</v>
      </c>
      <c r="B42" s="5">
        <v>45332</v>
      </c>
      <c r="C42" s="6" t="s">
        <v>23</v>
      </c>
      <c r="D42" s="6" t="s">
        <v>61</v>
      </c>
      <c r="E42" s="6">
        <v>1</v>
      </c>
      <c r="F42" s="6">
        <v>105</v>
      </c>
      <c r="G42" s="6">
        <v>105</v>
      </c>
      <c r="H42" s="6" t="s">
        <v>15</v>
      </c>
      <c r="I42" s="7" t="s">
        <v>16</v>
      </c>
      <c r="J42" s="6">
        <f>(Table1[[#This Row],[Total Revenue]] * 0.18) + Table1[[#This Row],[Total Revenue]]</f>
        <v>123.9</v>
      </c>
    </row>
    <row r="43" spans="1:10" x14ac:dyDescent="0.35">
      <c r="A43" s="4">
        <v>10042</v>
      </c>
      <c r="B43" s="5">
        <v>45333</v>
      </c>
      <c r="C43" s="6" t="s">
        <v>25</v>
      </c>
      <c r="D43" s="6" t="s">
        <v>62</v>
      </c>
      <c r="E43" s="6">
        <v>2</v>
      </c>
      <c r="F43" s="6">
        <v>129.99</v>
      </c>
      <c r="G43" s="6">
        <v>259.98</v>
      </c>
      <c r="H43" s="6" t="s">
        <v>19</v>
      </c>
      <c r="I43" s="7" t="s">
        <v>12</v>
      </c>
      <c r="J43" s="6">
        <f>(Table1[[#This Row],[Total Revenue]] * 0.18) + Table1[[#This Row],[Total Revenue]]</f>
        <v>306.77640000000002</v>
      </c>
    </row>
    <row r="44" spans="1:10" x14ac:dyDescent="0.35">
      <c r="A44" s="4">
        <v>10043</v>
      </c>
      <c r="B44" s="5">
        <v>45334</v>
      </c>
      <c r="C44" s="6" t="s">
        <v>9</v>
      </c>
      <c r="D44" s="6" t="s">
        <v>63</v>
      </c>
      <c r="E44" s="6">
        <v>3</v>
      </c>
      <c r="F44" s="6">
        <v>399.99</v>
      </c>
      <c r="G44" s="6">
        <v>1199.97</v>
      </c>
      <c r="H44" s="6" t="s">
        <v>11</v>
      </c>
      <c r="I44" s="7" t="s">
        <v>12</v>
      </c>
      <c r="J44" s="6">
        <f>(Table1[[#This Row],[Total Revenue]] * 0.18) + Table1[[#This Row],[Total Revenue]]</f>
        <v>1415.9646</v>
      </c>
    </row>
    <row r="45" spans="1:10" x14ac:dyDescent="0.35">
      <c r="A45" s="4">
        <v>10044</v>
      </c>
      <c r="B45" s="5">
        <v>45335</v>
      </c>
      <c r="C45" s="6" t="s">
        <v>13</v>
      </c>
      <c r="D45" s="6" t="s">
        <v>64</v>
      </c>
      <c r="E45" s="6">
        <v>1</v>
      </c>
      <c r="F45" s="6">
        <v>199.99</v>
      </c>
      <c r="G45" s="6">
        <v>199.99</v>
      </c>
      <c r="H45" s="6" t="s">
        <v>15</v>
      </c>
      <c r="I45" s="7" t="s">
        <v>16</v>
      </c>
      <c r="J45" s="6">
        <f>(Table1[[#This Row],[Total Revenue]] * 0.18) + Table1[[#This Row],[Total Revenue]]</f>
        <v>235.98820000000001</v>
      </c>
    </row>
    <row r="46" spans="1:10" x14ac:dyDescent="0.35">
      <c r="A46" s="4">
        <v>10045</v>
      </c>
      <c r="B46" s="5">
        <v>45336</v>
      </c>
      <c r="C46" s="6" t="s">
        <v>17</v>
      </c>
      <c r="D46" s="6" t="s">
        <v>65</v>
      </c>
      <c r="E46" s="6">
        <v>2</v>
      </c>
      <c r="F46" s="6">
        <v>139.99</v>
      </c>
      <c r="G46" s="6">
        <v>279.98</v>
      </c>
      <c r="H46" s="6" t="s">
        <v>19</v>
      </c>
      <c r="I46" s="7" t="s">
        <v>20</v>
      </c>
      <c r="J46" s="6">
        <f>(Table1[[#This Row],[Total Revenue]] * 0.18) + Table1[[#This Row],[Total Revenue]]</f>
        <v>330.37639999999999</v>
      </c>
    </row>
    <row r="47" spans="1:10" x14ac:dyDescent="0.35">
      <c r="A47" s="4">
        <v>10046</v>
      </c>
      <c r="B47" s="5">
        <v>45337</v>
      </c>
      <c r="C47" s="6" t="s">
        <v>21</v>
      </c>
      <c r="D47" s="6" t="s">
        <v>66</v>
      </c>
      <c r="E47" s="6">
        <v>4</v>
      </c>
      <c r="F47" s="6">
        <v>32.5</v>
      </c>
      <c r="G47" s="6">
        <v>130</v>
      </c>
      <c r="H47" s="6" t="s">
        <v>11</v>
      </c>
      <c r="I47" s="7" t="s">
        <v>12</v>
      </c>
      <c r="J47" s="6">
        <f>(Table1[[#This Row],[Total Revenue]] * 0.18) + Table1[[#This Row],[Total Revenue]]</f>
        <v>153.4</v>
      </c>
    </row>
    <row r="48" spans="1:10" x14ac:dyDescent="0.35">
      <c r="A48" s="4">
        <v>10047</v>
      </c>
      <c r="B48" s="5">
        <v>45338</v>
      </c>
      <c r="C48" s="6" t="s">
        <v>23</v>
      </c>
      <c r="D48" s="6" t="s">
        <v>67</v>
      </c>
      <c r="E48" s="6">
        <v>1</v>
      </c>
      <c r="F48" s="6">
        <v>52</v>
      </c>
      <c r="G48" s="6">
        <v>52</v>
      </c>
      <c r="H48" s="6" t="s">
        <v>15</v>
      </c>
      <c r="I48" s="7" t="s">
        <v>16</v>
      </c>
      <c r="J48" s="6">
        <f>(Table1[[#This Row],[Total Revenue]] * 0.18) + Table1[[#This Row],[Total Revenue]]</f>
        <v>61.36</v>
      </c>
    </row>
    <row r="49" spans="1:10" x14ac:dyDescent="0.35">
      <c r="A49" s="4">
        <v>10048</v>
      </c>
      <c r="B49" s="5">
        <v>45339</v>
      </c>
      <c r="C49" s="6" t="s">
        <v>25</v>
      </c>
      <c r="D49" s="6" t="s">
        <v>68</v>
      </c>
      <c r="E49" s="6">
        <v>6</v>
      </c>
      <c r="F49" s="6">
        <v>39.99</v>
      </c>
      <c r="G49" s="6">
        <v>239.94</v>
      </c>
      <c r="H49" s="6" t="s">
        <v>19</v>
      </c>
      <c r="I49" s="7" t="s">
        <v>12</v>
      </c>
      <c r="J49" s="6">
        <f>(Table1[[#This Row],[Total Revenue]] * 0.18) + Table1[[#This Row],[Total Revenue]]</f>
        <v>283.12919999999997</v>
      </c>
    </row>
    <row r="50" spans="1:10" x14ac:dyDescent="0.35">
      <c r="A50" s="4">
        <v>10049</v>
      </c>
      <c r="B50" s="5">
        <v>45340</v>
      </c>
      <c r="C50" s="6" t="s">
        <v>9</v>
      </c>
      <c r="D50" s="6" t="s">
        <v>69</v>
      </c>
      <c r="E50" s="6">
        <v>2</v>
      </c>
      <c r="F50" s="6">
        <v>129.99</v>
      </c>
      <c r="G50" s="6">
        <v>259.98</v>
      </c>
      <c r="H50" s="6" t="s">
        <v>11</v>
      </c>
      <c r="I50" s="7" t="s">
        <v>12</v>
      </c>
      <c r="J50" s="6">
        <f>(Table1[[#This Row],[Total Revenue]] * 0.18) + Table1[[#This Row],[Total Revenue]]</f>
        <v>306.77640000000002</v>
      </c>
    </row>
    <row r="51" spans="1:10" x14ac:dyDescent="0.35">
      <c r="A51" s="4">
        <v>10050</v>
      </c>
      <c r="B51" s="5">
        <v>45341</v>
      </c>
      <c r="C51" s="6" t="s">
        <v>13</v>
      </c>
      <c r="D51" s="6" t="s">
        <v>70</v>
      </c>
      <c r="E51" s="6">
        <v>1</v>
      </c>
      <c r="F51" s="6">
        <v>299.99</v>
      </c>
      <c r="G51" s="6">
        <v>299.99</v>
      </c>
      <c r="H51" s="6" t="s">
        <v>15</v>
      </c>
      <c r="I51" s="7" t="s">
        <v>16</v>
      </c>
      <c r="J51" s="6">
        <f>(Table1[[#This Row],[Total Revenue]] * 0.18) + Table1[[#This Row],[Total Revenue]]</f>
        <v>353.98820000000001</v>
      </c>
    </row>
    <row r="52" spans="1:10" x14ac:dyDescent="0.35">
      <c r="A52" s="4">
        <v>10051</v>
      </c>
      <c r="B52" s="5">
        <v>45342</v>
      </c>
      <c r="C52" s="6" t="s">
        <v>17</v>
      </c>
      <c r="D52" s="6" t="s">
        <v>71</v>
      </c>
      <c r="E52" s="6">
        <v>3</v>
      </c>
      <c r="F52" s="6">
        <v>154.99</v>
      </c>
      <c r="G52" s="6">
        <v>464.97</v>
      </c>
      <c r="H52" s="6" t="s">
        <v>19</v>
      </c>
      <c r="I52" s="7" t="s">
        <v>20</v>
      </c>
      <c r="J52" s="6">
        <f>(Table1[[#This Row],[Total Revenue]] * 0.18) + Table1[[#This Row],[Total Revenue]]</f>
        <v>548.66460000000006</v>
      </c>
    </row>
    <row r="53" spans="1:10" x14ac:dyDescent="0.35">
      <c r="A53" s="4">
        <v>10052</v>
      </c>
      <c r="B53" s="5">
        <v>45343</v>
      </c>
      <c r="C53" s="6" t="s">
        <v>21</v>
      </c>
      <c r="D53" s="6" t="s">
        <v>72</v>
      </c>
      <c r="E53" s="6">
        <v>2</v>
      </c>
      <c r="F53" s="6">
        <v>26.99</v>
      </c>
      <c r="G53" s="6">
        <v>53.98</v>
      </c>
      <c r="H53" s="6" t="s">
        <v>11</v>
      </c>
      <c r="I53" s="7" t="s">
        <v>12</v>
      </c>
      <c r="J53" s="6">
        <f>(Table1[[#This Row],[Total Revenue]] * 0.18) + Table1[[#This Row],[Total Revenue]]</f>
        <v>63.696399999999997</v>
      </c>
    </row>
    <row r="54" spans="1:10" x14ac:dyDescent="0.35">
      <c r="A54" s="4">
        <v>10053</v>
      </c>
      <c r="B54" s="5">
        <v>45344</v>
      </c>
      <c r="C54" s="6" t="s">
        <v>23</v>
      </c>
      <c r="D54" s="6" t="s">
        <v>73</v>
      </c>
      <c r="E54" s="6">
        <v>1</v>
      </c>
      <c r="F54" s="6">
        <v>49</v>
      </c>
      <c r="G54" s="6">
        <v>49</v>
      </c>
      <c r="H54" s="6" t="s">
        <v>15</v>
      </c>
      <c r="I54" s="7" t="s">
        <v>16</v>
      </c>
      <c r="J54" s="6">
        <f>(Table1[[#This Row],[Total Revenue]] * 0.18) + Table1[[#This Row],[Total Revenue]]</f>
        <v>57.82</v>
      </c>
    </row>
    <row r="55" spans="1:10" x14ac:dyDescent="0.35">
      <c r="A55" s="4">
        <v>10054</v>
      </c>
      <c r="B55" s="5">
        <v>45345</v>
      </c>
      <c r="C55" s="6" t="s">
        <v>25</v>
      </c>
      <c r="D55" s="6" t="s">
        <v>74</v>
      </c>
      <c r="E55" s="6">
        <v>5</v>
      </c>
      <c r="F55" s="6">
        <v>49.99</v>
      </c>
      <c r="G55" s="6">
        <v>249.95</v>
      </c>
      <c r="H55" s="6" t="s">
        <v>19</v>
      </c>
      <c r="I55" s="7" t="s">
        <v>12</v>
      </c>
      <c r="J55" s="6">
        <f>(Table1[[#This Row],[Total Revenue]] * 0.18) + Table1[[#This Row],[Total Revenue]]</f>
        <v>294.94099999999997</v>
      </c>
    </row>
    <row r="56" spans="1:10" x14ac:dyDescent="0.35">
      <c r="A56" s="4">
        <v>10055</v>
      </c>
      <c r="B56" s="5">
        <v>45346</v>
      </c>
      <c r="C56" s="6" t="s">
        <v>9</v>
      </c>
      <c r="D56" s="6" t="s">
        <v>75</v>
      </c>
      <c r="E56" s="6">
        <v>4</v>
      </c>
      <c r="F56" s="6">
        <v>59.99</v>
      </c>
      <c r="G56" s="6">
        <v>239.96</v>
      </c>
      <c r="H56" s="6" t="s">
        <v>11</v>
      </c>
      <c r="I56" s="7" t="s">
        <v>12</v>
      </c>
      <c r="J56" s="6">
        <f>(Table1[[#This Row],[Total Revenue]] * 0.18) + Table1[[#This Row],[Total Revenue]]</f>
        <v>283.15280000000001</v>
      </c>
    </row>
    <row r="57" spans="1:10" x14ac:dyDescent="0.35">
      <c r="A57" s="4">
        <v>10056</v>
      </c>
      <c r="B57" s="5">
        <v>45347</v>
      </c>
      <c r="C57" s="6" t="s">
        <v>13</v>
      </c>
      <c r="D57" s="6" t="s">
        <v>76</v>
      </c>
      <c r="E57" s="6">
        <v>1</v>
      </c>
      <c r="F57" s="6">
        <v>499.99</v>
      </c>
      <c r="G57" s="6">
        <v>499.99</v>
      </c>
      <c r="H57" s="6" t="s">
        <v>15</v>
      </c>
      <c r="I57" s="7" t="s">
        <v>16</v>
      </c>
      <c r="J57" s="6">
        <f>(Table1[[#This Row],[Total Revenue]] * 0.18) + Table1[[#This Row],[Total Revenue]]</f>
        <v>589.98820000000001</v>
      </c>
    </row>
    <row r="58" spans="1:10" x14ac:dyDescent="0.35">
      <c r="A58" s="4">
        <v>10057</v>
      </c>
      <c r="B58" s="5">
        <v>45348</v>
      </c>
      <c r="C58" s="6" t="s">
        <v>17</v>
      </c>
      <c r="D58" s="6" t="s">
        <v>77</v>
      </c>
      <c r="E58" s="6">
        <v>5</v>
      </c>
      <c r="F58" s="6">
        <v>29.99</v>
      </c>
      <c r="G58" s="6">
        <v>149.94999999999999</v>
      </c>
      <c r="H58" s="6" t="s">
        <v>19</v>
      </c>
      <c r="I58" s="7" t="s">
        <v>20</v>
      </c>
      <c r="J58" s="6">
        <f>(Table1[[#This Row],[Total Revenue]] * 0.18) + Table1[[#This Row],[Total Revenue]]</f>
        <v>176.94099999999997</v>
      </c>
    </row>
    <row r="59" spans="1:10" x14ac:dyDescent="0.35">
      <c r="A59" s="4">
        <v>10058</v>
      </c>
      <c r="B59" s="5">
        <v>45349</v>
      </c>
      <c r="C59" s="6" t="s">
        <v>21</v>
      </c>
      <c r="D59" s="6" t="s">
        <v>78</v>
      </c>
      <c r="E59" s="6">
        <v>3</v>
      </c>
      <c r="F59" s="6">
        <v>28</v>
      </c>
      <c r="G59" s="6">
        <v>84</v>
      </c>
      <c r="H59" s="6" t="s">
        <v>11</v>
      </c>
      <c r="I59" s="7" t="s">
        <v>12</v>
      </c>
      <c r="J59" s="6">
        <f>(Table1[[#This Row],[Total Revenue]] * 0.18) + Table1[[#This Row],[Total Revenue]]</f>
        <v>99.12</v>
      </c>
    </row>
    <row r="60" spans="1:10" x14ac:dyDescent="0.35">
      <c r="A60" s="4">
        <v>10059</v>
      </c>
      <c r="B60" s="5">
        <v>45350</v>
      </c>
      <c r="C60" s="6" t="s">
        <v>23</v>
      </c>
      <c r="D60" s="6" t="s">
        <v>79</v>
      </c>
      <c r="E60" s="6">
        <v>2</v>
      </c>
      <c r="F60" s="6">
        <v>23</v>
      </c>
      <c r="G60" s="6">
        <v>46</v>
      </c>
      <c r="H60" s="6" t="s">
        <v>15</v>
      </c>
      <c r="I60" s="7" t="s">
        <v>16</v>
      </c>
      <c r="J60" s="6">
        <f>(Table1[[#This Row],[Total Revenue]] * 0.18) + Table1[[#This Row],[Total Revenue]]</f>
        <v>54.28</v>
      </c>
    </row>
    <row r="61" spans="1:10" x14ac:dyDescent="0.35">
      <c r="A61" s="4">
        <v>10060</v>
      </c>
      <c r="B61" s="5">
        <v>45351</v>
      </c>
      <c r="C61" s="6" t="s">
        <v>25</v>
      </c>
      <c r="D61" s="6" t="s">
        <v>80</v>
      </c>
      <c r="E61" s="6">
        <v>1</v>
      </c>
      <c r="F61" s="6">
        <v>349</v>
      </c>
      <c r="G61" s="6">
        <v>349</v>
      </c>
      <c r="H61" s="6" t="s">
        <v>19</v>
      </c>
      <c r="I61" s="7" t="s">
        <v>12</v>
      </c>
      <c r="J61" s="6">
        <f>(Table1[[#This Row],[Total Revenue]] * 0.18) + Table1[[#This Row],[Total Revenue]]</f>
        <v>411.82</v>
      </c>
    </row>
    <row r="62" spans="1:10" x14ac:dyDescent="0.35">
      <c r="A62" s="4">
        <v>10061</v>
      </c>
      <c r="B62" s="5">
        <v>45352</v>
      </c>
      <c r="C62" s="6" t="s">
        <v>9</v>
      </c>
      <c r="D62" s="6" t="s">
        <v>81</v>
      </c>
      <c r="E62" s="6">
        <v>3</v>
      </c>
      <c r="F62" s="6">
        <v>299.99</v>
      </c>
      <c r="G62" s="6">
        <v>899.97</v>
      </c>
      <c r="H62" s="6" t="s">
        <v>11</v>
      </c>
      <c r="I62" s="7" t="s">
        <v>12</v>
      </c>
      <c r="J62" s="6">
        <f>(Table1[[#This Row],[Total Revenue]] * 0.18) + Table1[[#This Row],[Total Revenue]]</f>
        <v>1061.9646</v>
      </c>
    </row>
    <row r="63" spans="1:10" x14ac:dyDescent="0.35">
      <c r="A63" s="4">
        <v>10062</v>
      </c>
      <c r="B63" s="5">
        <v>45353</v>
      </c>
      <c r="C63" s="6" t="s">
        <v>13</v>
      </c>
      <c r="D63" s="6" t="s">
        <v>82</v>
      </c>
      <c r="E63" s="6">
        <v>2</v>
      </c>
      <c r="F63" s="6">
        <v>199.99</v>
      </c>
      <c r="G63" s="6">
        <v>399.98</v>
      </c>
      <c r="H63" s="6" t="s">
        <v>15</v>
      </c>
      <c r="I63" s="7" t="s">
        <v>16</v>
      </c>
      <c r="J63" s="6">
        <f>(Table1[[#This Row],[Total Revenue]] * 0.18) + Table1[[#This Row],[Total Revenue]]</f>
        <v>471.97640000000001</v>
      </c>
    </row>
    <row r="64" spans="1:10" x14ac:dyDescent="0.35">
      <c r="A64" s="4">
        <v>10063</v>
      </c>
      <c r="B64" s="5">
        <v>45354</v>
      </c>
      <c r="C64" s="6" t="s">
        <v>17</v>
      </c>
      <c r="D64" s="6" t="s">
        <v>83</v>
      </c>
      <c r="E64" s="6">
        <v>10</v>
      </c>
      <c r="F64" s="6">
        <v>9.99</v>
      </c>
      <c r="G64" s="6">
        <v>99.9</v>
      </c>
      <c r="H64" s="6" t="s">
        <v>19</v>
      </c>
      <c r="I64" s="7" t="s">
        <v>20</v>
      </c>
      <c r="J64" s="6">
        <f>(Table1[[#This Row],[Total Revenue]] * 0.18) + Table1[[#This Row],[Total Revenue]]</f>
        <v>117.88200000000001</v>
      </c>
    </row>
    <row r="65" spans="1:10" x14ac:dyDescent="0.35">
      <c r="A65" s="4">
        <v>10064</v>
      </c>
      <c r="B65" s="5">
        <v>45355</v>
      </c>
      <c r="C65" s="6" t="s">
        <v>21</v>
      </c>
      <c r="D65" s="6" t="s">
        <v>84</v>
      </c>
      <c r="E65" s="6">
        <v>4</v>
      </c>
      <c r="F65" s="6">
        <v>18.989999999999998</v>
      </c>
      <c r="G65" s="6">
        <v>75.959999999999994</v>
      </c>
      <c r="H65" s="6" t="s">
        <v>11</v>
      </c>
      <c r="I65" s="7" t="s">
        <v>12</v>
      </c>
      <c r="J65" s="6">
        <f>(Table1[[#This Row],[Total Revenue]] * 0.18) + Table1[[#This Row],[Total Revenue]]</f>
        <v>89.632799999999989</v>
      </c>
    </row>
    <row r="66" spans="1:10" x14ac:dyDescent="0.35">
      <c r="A66" s="4">
        <v>10065</v>
      </c>
      <c r="B66" s="5">
        <v>45356</v>
      </c>
      <c r="C66" s="6" t="s">
        <v>23</v>
      </c>
      <c r="D66" s="6" t="s">
        <v>85</v>
      </c>
      <c r="E66" s="6">
        <v>1</v>
      </c>
      <c r="F66" s="6">
        <v>102</v>
      </c>
      <c r="G66" s="6">
        <v>102</v>
      </c>
      <c r="H66" s="6" t="s">
        <v>15</v>
      </c>
      <c r="I66" s="7" t="s">
        <v>16</v>
      </c>
      <c r="J66" s="6">
        <f>(Table1[[#This Row],[Total Revenue]] * 0.18) + Table1[[#This Row],[Total Revenue]]</f>
        <v>120.36</v>
      </c>
    </row>
    <row r="67" spans="1:10" x14ac:dyDescent="0.35">
      <c r="A67" s="4">
        <v>10066</v>
      </c>
      <c r="B67" s="5">
        <v>45357</v>
      </c>
      <c r="C67" s="6" t="s">
        <v>25</v>
      </c>
      <c r="D67" s="6" t="s">
        <v>86</v>
      </c>
      <c r="E67" s="6">
        <v>2</v>
      </c>
      <c r="F67" s="6">
        <v>299.99</v>
      </c>
      <c r="G67" s="6">
        <v>599.98</v>
      </c>
      <c r="H67" s="6" t="s">
        <v>19</v>
      </c>
      <c r="I67" s="7" t="s">
        <v>12</v>
      </c>
      <c r="J67" s="6">
        <f>(Table1[[#This Row],[Total Revenue]] * 0.18) + Table1[[#This Row],[Total Revenue]]</f>
        <v>707.97640000000001</v>
      </c>
    </row>
    <row r="68" spans="1:10" x14ac:dyDescent="0.35">
      <c r="A68" s="4">
        <v>10067</v>
      </c>
      <c r="B68" s="5">
        <v>45358</v>
      </c>
      <c r="C68" s="6" t="s">
        <v>9</v>
      </c>
      <c r="D68" s="6" t="s">
        <v>87</v>
      </c>
      <c r="E68" s="6">
        <v>1</v>
      </c>
      <c r="F68" s="6">
        <v>1199.99</v>
      </c>
      <c r="G68" s="6">
        <v>1199.99</v>
      </c>
      <c r="H68" s="6" t="s">
        <v>11</v>
      </c>
      <c r="I68" s="7" t="s">
        <v>12</v>
      </c>
      <c r="J68" s="6">
        <f>(Table1[[#This Row],[Total Revenue]] * 0.18) + Table1[[#This Row],[Total Revenue]]</f>
        <v>1415.9882</v>
      </c>
    </row>
    <row r="69" spans="1:10" x14ac:dyDescent="0.35">
      <c r="A69" s="4">
        <v>10068</v>
      </c>
      <c r="B69" s="5">
        <v>45359</v>
      </c>
      <c r="C69" s="6" t="s">
        <v>13</v>
      </c>
      <c r="D69" s="6" t="s">
        <v>88</v>
      </c>
      <c r="E69" s="6">
        <v>3</v>
      </c>
      <c r="F69" s="6">
        <v>219.99</v>
      </c>
      <c r="G69" s="6">
        <v>659.97</v>
      </c>
      <c r="H69" s="6" t="s">
        <v>15</v>
      </c>
      <c r="I69" s="7" t="s">
        <v>16</v>
      </c>
      <c r="J69" s="6">
        <f>(Table1[[#This Row],[Total Revenue]] * 0.18) + Table1[[#This Row],[Total Revenue]]</f>
        <v>778.76459999999997</v>
      </c>
    </row>
    <row r="70" spans="1:10" x14ac:dyDescent="0.35">
      <c r="A70" s="4">
        <v>10069</v>
      </c>
      <c r="B70" s="5">
        <v>45360</v>
      </c>
      <c r="C70" s="6" t="s">
        <v>17</v>
      </c>
      <c r="D70" s="6" t="s">
        <v>89</v>
      </c>
      <c r="E70" s="6">
        <v>4</v>
      </c>
      <c r="F70" s="6">
        <v>59.99</v>
      </c>
      <c r="G70" s="6">
        <v>239.96</v>
      </c>
      <c r="H70" s="6" t="s">
        <v>19</v>
      </c>
      <c r="I70" s="7" t="s">
        <v>20</v>
      </c>
      <c r="J70" s="6">
        <f>(Table1[[#This Row],[Total Revenue]] * 0.18) + Table1[[#This Row],[Total Revenue]]</f>
        <v>283.15280000000001</v>
      </c>
    </row>
    <row r="71" spans="1:10" x14ac:dyDescent="0.35">
      <c r="A71" s="4">
        <v>10070</v>
      </c>
      <c r="B71" s="5">
        <v>45361</v>
      </c>
      <c r="C71" s="6" t="s">
        <v>21</v>
      </c>
      <c r="D71" s="6" t="s">
        <v>90</v>
      </c>
      <c r="E71" s="6">
        <v>2</v>
      </c>
      <c r="F71" s="6">
        <v>10.99</v>
      </c>
      <c r="G71" s="6">
        <v>21.98</v>
      </c>
      <c r="H71" s="6" t="s">
        <v>11</v>
      </c>
      <c r="I71" s="7" t="s">
        <v>12</v>
      </c>
      <c r="J71" s="6">
        <f>(Table1[[#This Row],[Total Revenue]] * 0.18) + Table1[[#This Row],[Total Revenue]]</f>
        <v>25.936399999999999</v>
      </c>
    </row>
    <row r="72" spans="1:10" x14ac:dyDescent="0.35">
      <c r="A72" s="4">
        <v>10071</v>
      </c>
      <c r="B72" s="5">
        <v>45362</v>
      </c>
      <c r="C72" s="6" t="s">
        <v>23</v>
      </c>
      <c r="D72" s="6" t="s">
        <v>91</v>
      </c>
      <c r="E72" s="6">
        <v>1</v>
      </c>
      <c r="F72" s="6">
        <v>78</v>
      </c>
      <c r="G72" s="6">
        <v>78</v>
      </c>
      <c r="H72" s="6" t="s">
        <v>15</v>
      </c>
      <c r="I72" s="7" t="s">
        <v>16</v>
      </c>
      <c r="J72" s="6">
        <f>(Table1[[#This Row],[Total Revenue]] * 0.18) + Table1[[#This Row],[Total Revenue]]</f>
        <v>92.039999999999992</v>
      </c>
    </row>
    <row r="73" spans="1:10" x14ac:dyDescent="0.35">
      <c r="A73" s="4">
        <v>10072</v>
      </c>
      <c r="B73" s="5">
        <v>45363</v>
      </c>
      <c r="C73" s="6" t="s">
        <v>25</v>
      </c>
      <c r="D73" s="6" t="s">
        <v>92</v>
      </c>
      <c r="E73" s="6">
        <v>3</v>
      </c>
      <c r="F73" s="6">
        <v>129.99</v>
      </c>
      <c r="G73" s="6">
        <v>389.97</v>
      </c>
      <c r="H73" s="6" t="s">
        <v>19</v>
      </c>
      <c r="I73" s="7" t="s">
        <v>12</v>
      </c>
      <c r="J73" s="6">
        <f>(Table1[[#This Row],[Total Revenue]] * 0.18) + Table1[[#This Row],[Total Revenue]]</f>
        <v>460.16460000000006</v>
      </c>
    </row>
    <row r="74" spans="1:10" x14ac:dyDescent="0.35">
      <c r="A74" s="4">
        <v>10073</v>
      </c>
      <c r="B74" s="5">
        <v>45364</v>
      </c>
      <c r="C74" s="6" t="s">
        <v>9</v>
      </c>
      <c r="D74" s="6" t="s">
        <v>93</v>
      </c>
      <c r="E74" s="6">
        <v>1</v>
      </c>
      <c r="F74" s="6">
        <v>1599.99</v>
      </c>
      <c r="G74" s="6">
        <v>1599.99</v>
      </c>
      <c r="H74" s="6" t="s">
        <v>11</v>
      </c>
      <c r="I74" s="7" t="s">
        <v>12</v>
      </c>
      <c r="J74" s="6">
        <f>(Table1[[#This Row],[Total Revenue]] * 0.18) + Table1[[#This Row],[Total Revenue]]</f>
        <v>1887.9882</v>
      </c>
    </row>
    <row r="75" spans="1:10" x14ac:dyDescent="0.35">
      <c r="A75" s="4">
        <v>10074</v>
      </c>
      <c r="B75" s="5">
        <v>45365</v>
      </c>
      <c r="C75" s="6" t="s">
        <v>13</v>
      </c>
      <c r="D75" s="6" t="s">
        <v>94</v>
      </c>
      <c r="E75" s="6">
        <v>1</v>
      </c>
      <c r="F75" s="6">
        <v>899.99</v>
      </c>
      <c r="G75" s="6">
        <v>899.99</v>
      </c>
      <c r="H75" s="6" t="s">
        <v>15</v>
      </c>
      <c r="I75" s="7" t="s">
        <v>16</v>
      </c>
      <c r="J75" s="6">
        <f>(Table1[[#This Row],[Total Revenue]] * 0.18) + Table1[[#This Row],[Total Revenue]]</f>
        <v>1061.9882</v>
      </c>
    </row>
    <row r="76" spans="1:10" x14ac:dyDescent="0.35">
      <c r="A76" s="4">
        <v>10075</v>
      </c>
      <c r="B76" s="5">
        <v>45366</v>
      </c>
      <c r="C76" s="6" t="s">
        <v>17</v>
      </c>
      <c r="D76" s="6" t="s">
        <v>95</v>
      </c>
      <c r="E76" s="6">
        <v>5</v>
      </c>
      <c r="F76" s="6">
        <v>49.99</v>
      </c>
      <c r="G76" s="6">
        <v>249.95</v>
      </c>
      <c r="H76" s="6" t="s">
        <v>19</v>
      </c>
      <c r="I76" s="7" t="s">
        <v>20</v>
      </c>
      <c r="J76" s="6">
        <f>(Table1[[#This Row],[Total Revenue]] * 0.18) + Table1[[#This Row],[Total Revenue]]</f>
        <v>294.94099999999997</v>
      </c>
    </row>
    <row r="77" spans="1:10" x14ac:dyDescent="0.35">
      <c r="A77" s="4">
        <v>10076</v>
      </c>
      <c r="B77" s="5">
        <v>45367</v>
      </c>
      <c r="C77" s="6" t="s">
        <v>21</v>
      </c>
      <c r="D77" s="6" t="s">
        <v>96</v>
      </c>
      <c r="E77" s="6">
        <v>4</v>
      </c>
      <c r="F77" s="6">
        <v>14.99</v>
      </c>
      <c r="G77" s="6">
        <v>59.96</v>
      </c>
      <c r="H77" s="6" t="s">
        <v>11</v>
      </c>
      <c r="I77" s="7" t="s">
        <v>12</v>
      </c>
      <c r="J77" s="6">
        <f>(Table1[[#This Row],[Total Revenue]] * 0.18) + Table1[[#This Row],[Total Revenue]]</f>
        <v>70.752800000000008</v>
      </c>
    </row>
    <row r="78" spans="1:10" x14ac:dyDescent="0.35">
      <c r="A78" s="4">
        <v>10077</v>
      </c>
      <c r="B78" s="5">
        <v>45368</v>
      </c>
      <c r="C78" s="6" t="s">
        <v>23</v>
      </c>
      <c r="D78" s="6" t="s">
        <v>97</v>
      </c>
      <c r="E78" s="6">
        <v>2</v>
      </c>
      <c r="F78" s="6">
        <v>16</v>
      </c>
      <c r="G78" s="6">
        <v>32</v>
      </c>
      <c r="H78" s="6" t="s">
        <v>15</v>
      </c>
      <c r="I78" s="7" t="s">
        <v>16</v>
      </c>
      <c r="J78" s="6">
        <f>(Table1[[#This Row],[Total Revenue]] * 0.18) + Table1[[#This Row],[Total Revenue]]</f>
        <v>37.76</v>
      </c>
    </row>
    <row r="79" spans="1:10" x14ac:dyDescent="0.35">
      <c r="A79" s="4">
        <v>10078</v>
      </c>
      <c r="B79" s="5">
        <v>45369</v>
      </c>
      <c r="C79" s="6" t="s">
        <v>25</v>
      </c>
      <c r="D79" s="6" t="s">
        <v>98</v>
      </c>
      <c r="E79" s="6">
        <v>3</v>
      </c>
      <c r="F79" s="6">
        <v>69.989999999999995</v>
      </c>
      <c r="G79" s="6">
        <v>209.97</v>
      </c>
      <c r="H79" s="6" t="s">
        <v>19</v>
      </c>
      <c r="I79" s="7" t="s">
        <v>12</v>
      </c>
      <c r="J79" s="6">
        <f>(Table1[[#This Row],[Total Revenue]] * 0.18) + Table1[[#This Row],[Total Revenue]]</f>
        <v>247.7646</v>
      </c>
    </row>
    <row r="80" spans="1:10" x14ac:dyDescent="0.35">
      <c r="A80" s="4">
        <v>10079</v>
      </c>
      <c r="B80" s="5">
        <v>45370</v>
      </c>
      <c r="C80" s="6" t="s">
        <v>9</v>
      </c>
      <c r="D80" s="6" t="s">
        <v>99</v>
      </c>
      <c r="E80" s="6">
        <v>2</v>
      </c>
      <c r="F80" s="6">
        <v>249.99</v>
      </c>
      <c r="G80" s="6">
        <v>499.98</v>
      </c>
      <c r="H80" s="6" t="s">
        <v>11</v>
      </c>
      <c r="I80" s="7" t="s">
        <v>12</v>
      </c>
      <c r="J80" s="6">
        <f>(Table1[[#This Row],[Total Revenue]] * 0.18) + Table1[[#This Row],[Total Revenue]]</f>
        <v>589.97640000000001</v>
      </c>
    </row>
    <row r="81" spans="1:10" x14ac:dyDescent="0.35">
      <c r="A81" s="4">
        <v>10080</v>
      </c>
      <c r="B81" s="5">
        <v>45371</v>
      </c>
      <c r="C81" s="6" t="s">
        <v>13</v>
      </c>
      <c r="D81" s="6" t="s">
        <v>100</v>
      </c>
      <c r="E81" s="6">
        <v>1</v>
      </c>
      <c r="F81" s="6">
        <v>499.99</v>
      </c>
      <c r="G81" s="6">
        <v>499.99</v>
      </c>
      <c r="H81" s="6" t="s">
        <v>15</v>
      </c>
      <c r="I81" s="7" t="s">
        <v>16</v>
      </c>
      <c r="J81" s="6">
        <f>(Table1[[#This Row],[Total Revenue]] * 0.18) + Table1[[#This Row],[Total Revenue]]</f>
        <v>589.98820000000001</v>
      </c>
    </row>
    <row r="82" spans="1:10" x14ac:dyDescent="0.35">
      <c r="A82" s="4">
        <v>10081</v>
      </c>
      <c r="B82" s="5">
        <v>45372</v>
      </c>
      <c r="C82" s="6" t="s">
        <v>17</v>
      </c>
      <c r="D82" s="6" t="s">
        <v>101</v>
      </c>
      <c r="E82" s="6">
        <v>2</v>
      </c>
      <c r="F82" s="6">
        <v>89.99</v>
      </c>
      <c r="G82" s="6">
        <v>179.98</v>
      </c>
      <c r="H82" s="6" t="s">
        <v>19</v>
      </c>
      <c r="I82" s="7" t="s">
        <v>20</v>
      </c>
      <c r="J82" s="6">
        <f>(Table1[[#This Row],[Total Revenue]] * 0.18) + Table1[[#This Row],[Total Revenue]]</f>
        <v>212.37639999999999</v>
      </c>
    </row>
    <row r="83" spans="1:10" x14ac:dyDescent="0.35">
      <c r="A83" s="4">
        <v>10082</v>
      </c>
      <c r="B83" s="5">
        <v>45373</v>
      </c>
      <c r="C83" s="6" t="s">
        <v>21</v>
      </c>
      <c r="D83" s="6" t="s">
        <v>102</v>
      </c>
      <c r="E83" s="6">
        <v>3</v>
      </c>
      <c r="F83" s="6">
        <v>12.99</v>
      </c>
      <c r="G83" s="6">
        <v>38.97</v>
      </c>
      <c r="H83" s="6" t="s">
        <v>11</v>
      </c>
      <c r="I83" s="7" t="s">
        <v>12</v>
      </c>
      <c r="J83" s="6">
        <f>(Table1[[#This Row],[Total Revenue]] * 0.18) + Table1[[#This Row],[Total Revenue]]</f>
        <v>45.9846</v>
      </c>
    </row>
    <row r="84" spans="1:10" x14ac:dyDescent="0.35">
      <c r="A84" s="4">
        <v>10083</v>
      </c>
      <c r="B84" s="5">
        <v>45374</v>
      </c>
      <c r="C84" s="6" t="s">
        <v>23</v>
      </c>
      <c r="D84" s="6" t="s">
        <v>103</v>
      </c>
      <c r="E84" s="6">
        <v>1</v>
      </c>
      <c r="F84" s="6">
        <v>100</v>
      </c>
      <c r="G84" s="6">
        <v>100</v>
      </c>
      <c r="H84" s="6" t="s">
        <v>15</v>
      </c>
      <c r="I84" s="7" t="s">
        <v>16</v>
      </c>
      <c r="J84" s="6">
        <f>(Table1[[#This Row],[Total Revenue]] * 0.18) + Table1[[#This Row],[Total Revenue]]</f>
        <v>118</v>
      </c>
    </row>
    <row r="85" spans="1:10" x14ac:dyDescent="0.35">
      <c r="A85" s="4">
        <v>10084</v>
      </c>
      <c r="B85" s="5">
        <v>45375</v>
      </c>
      <c r="C85" s="6" t="s">
        <v>25</v>
      </c>
      <c r="D85" s="6" t="s">
        <v>104</v>
      </c>
      <c r="E85" s="6">
        <v>6</v>
      </c>
      <c r="F85" s="6">
        <v>24.99</v>
      </c>
      <c r="G85" s="6">
        <v>149.94</v>
      </c>
      <c r="H85" s="6" t="s">
        <v>19</v>
      </c>
      <c r="I85" s="7" t="s">
        <v>12</v>
      </c>
      <c r="J85" s="6">
        <f>(Table1[[#This Row],[Total Revenue]] * 0.18) + Table1[[#This Row],[Total Revenue]]</f>
        <v>176.92920000000001</v>
      </c>
    </row>
    <row r="86" spans="1:10" x14ac:dyDescent="0.35">
      <c r="A86" s="4">
        <v>10085</v>
      </c>
      <c r="B86" s="5">
        <v>45376</v>
      </c>
      <c r="C86" s="6" t="s">
        <v>9</v>
      </c>
      <c r="D86" s="6" t="s">
        <v>105</v>
      </c>
      <c r="E86" s="6">
        <v>1</v>
      </c>
      <c r="F86" s="6">
        <v>99.99</v>
      </c>
      <c r="G86" s="6">
        <v>99.99</v>
      </c>
      <c r="H86" s="6" t="s">
        <v>11</v>
      </c>
      <c r="I86" s="7" t="s">
        <v>12</v>
      </c>
      <c r="J86" s="6">
        <f>(Table1[[#This Row],[Total Revenue]] * 0.18) + Table1[[#This Row],[Total Revenue]]</f>
        <v>117.98819999999999</v>
      </c>
    </row>
    <row r="87" spans="1:10" x14ac:dyDescent="0.35">
      <c r="A87" s="4">
        <v>10086</v>
      </c>
      <c r="B87" s="5">
        <v>45377</v>
      </c>
      <c r="C87" s="6" t="s">
        <v>13</v>
      </c>
      <c r="D87" s="6" t="s">
        <v>106</v>
      </c>
      <c r="E87" s="6">
        <v>2</v>
      </c>
      <c r="F87" s="6">
        <v>1299.99</v>
      </c>
      <c r="G87" s="6">
        <v>2599.98</v>
      </c>
      <c r="H87" s="6" t="s">
        <v>15</v>
      </c>
      <c r="I87" s="7" t="s">
        <v>16</v>
      </c>
      <c r="J87" s="6">
        <f>(Table1[[#This Row],[Total Revenue]] * 0.18) + Table1[[#This Row],[Total Revenue]]</f>
        <v>3067.9764</v>
      </c>
    </row>
    <row r="88" spans="1:10" x14ac:dyDescent="0.35">
      <c r="A88" s="4">
        <v>10087</v>
      </c>
      <c r="B88" s="5">
        <v>45378</v>
      </c>
      <c r="C88" s="6" t="s">
        <v>17</v>
      </c>
      <c r="D88" s="6" t="s">
        <v>107</v>
      </c>
      <c r="E88" s="6">
        <v>3</v>
      </c>
      <c r="F88" s="6">
        <v>79.989999999999995</v>
      </c>
      <c r="G88" s="6">
        <v>239.97</v>
      </c>
      <c r="H88" s="6" t="s">
        <v>19</v>
      </c>
      <c r="I88" s="7" t="s">
        <v>20</v>
      </c>
      <c r="J88" s="6">
        <f>(Table1[[#This Row],[Total Revenue]] * 0.18) + Table1[[#This Row],[Total Revenue]]</f>
        <v>283.16460000000001</v>
      </c>
    </row>
    <row r="89" spans="1:10" x14ac:dyDescent="0.35">
      <c r="A89" s="4">
        <v>10088</v>
      </c>
      <c r="B89" s="5">
        <v>45379</v>
      </c>
      <c r="C89" s="6" t="s">
        <v>21</v>
      </c>
      <c r="D89" s="6" t="s">
        <v>108</v>
      </c>
      <c r="E89" s="6">
        <v>4</v>
      </c>
      <c r="F89" s="6">
        <v>13.99</v>
      </c>
      <c r="G89" s="6">
        <v>55.96</v>
      </c>
      <c r="H89" s="6" t="s">
        <v>11</v>
      </c>
      <c r="I89" s="7" t="s">
        <v>12</v>
      </c>
      <c r="J89" s="6">
        <f>(Table1[[#This Row],[Total Revenue]] * 0.18) + Table1[[#This Row],[Total Revenue]]</f>
        <v>66.032799999999995</v>
      </c>
    </row>
    <row r="90" spans="1:10" x14ac:dyDescent="0.35">
      <c r="A90" s="4">
        <v>10089</v>
      </c>
      <c r="B90" s="5">
        <v>45380</v>
      </c>
      <c r="C90" s="6" t="s">
        <v>23</v>
      </c>
      <c r="D90" s="6" t="s">
        <v>109</v>
      </c>
      <c r="E90" s="6">
        <v>1</v>
      </c>
      <c r="F90" s="6">
        <v>105</v>
      </c>
      <c r="G90" s="6">
        <v>105</v>
      </c>
      <c r="H90" s="6" t="s">
        <v>15</v>
      </c>
      <c r="I90" s="7" t="s">
        <v>16</v>
      </c>
      <c r="J90" s="6">
        <f>(Table1[[#This Row],[Total Revenue]] * 0.18) + Table1[[#This Row],[Total Revenue]]</f>
        <v>123.9</v>
      </c>
    </row>
    <row r="91" spans="1:10" x14ac:dyDescent="0.35">
      <c r="A91" s="4">
        <v>10090</v>
      </c>
      <c r="B91" s="5">
        <v>45381</v>
      </c>
      <c r="C91" s="6" t="s">
        <v>25</v>
      </c>
      <c r="D91" s="6" t="s">
        <v>110</v>
      </c>
      <c r="E91" s="6">
        <v>2</v>
      </c>
      <c r="F91" s="6">
        <v>129.99</v>
      </c>
      <c r="G91" s="6">
        <v>259.98</v>
      </c>
      <c r="H91" s="6" t="s">
        <v>19</v>
      </c>
      <c r="I91" s="7" t="s">
        <v>12</v>
      </c>
      <c r="J91" s="6">
        <f>(Table1[[#This Row],[Total Revenue]] * 0.18) + Table1[[#This Row],[Total Revenue]]</f>
        <v>306.77640000000002</v>
      </c>
    </row>
    <row r="92" spans="1:10" x14ac:dyDescent="0.35">
      <c r="A92" s="4">
        <v>10091</v>
      </c>
      <c r="B92" s="5">
        <v>45382</v>
      </c>
      <c r="C92" s="6" t="s">
        <v>9</v>
      </c>
      <c r="D92" s="6" t="s">
        <v>111</v>
      </c>
      <c r="E92" s="6">
        <v>2</v>
      </c>
      <c r="F92" s="6">
        <v>99.99</v>
      </c>
      <c r="G92" s="6">
        <v>199.98</v>
      </c>
      <c r="H92" s="6" t="s">
        <v>11</v>
      </c>
      <c r="I92" s="7" t="s">
        <v>12</v>
      </c>
      <c r="J92" s="6">
        <f>(Table1[[#This Row],[Total Revenue]] * 0.18) + Table1[[#This Row],[Total Revenue]]</f>
        <v>235.97639999999998</v>
      </c>
    </row>
    <row r="93" spans="1:10" x14ac:dyDescent="0.35">
      <c r="A93" s="4">
        <v>10092</v>
      </c>
      <c r="B93" s="5">
        <v>45383</v>
      </c>
      <c r="C93" s="6" t="s">
        <v>13</v>
      </c>
      <c r="D93" s="6" t="s">
        <v>112</v>
      </c>
      <c r="E93" s="6">
        <v>1</v>
      </c>
      <c r="F93" s="6">
        <v>179.99</v>
      </c>
      <c r="G93" s="6">
        <v>179.99</v>
      </c>
      <c r="H93" s="6" t="s">
        <v>15</v>
      </c>
      <c r="I93" s="7" t="s">
        <v>16</v>
      </c>
      <c r="J93" s="6">
        <f>(Table1[[#This Row],[Total Revenue]] * 0.18) + Table1[[#This Row],[Total Revenue]]</f>
        <v>212.38820000000001</v>
      </c>
    </row>
    <row r="94" spans="1:10" x14ac:dyDescent="0.35">
      <c r="A94" s="4">
        <v>10093</v>
      </c>
      <c r="B94" s="5">
        <v>45384</v>
      </c>
      <c r="C94" s="6" t="s">
        <v>17</v>
      </c>
      <c r="D94" s="6" t="s">
        <v>113</v>
      </c>
      <c r="E94" s="6">
        <v>4</v>
      </c>
      <c r="F94" s="6">
        <v>79.989999999999995</v>
      </c>
      <c r="G94" s="6">
        <v>319.95999999999998</v>
      </c>
      <c r="H94" s="6" t="s">
        <v>19</v>
      </c>
      <c r="I94" s="7" t="s">
        <v>20</v>
      </c>
      <c r="J94" s="6">
        <f>(Table1[[#This Row],[Total Revenue]] * 0.18) + Table1[[#This Row],[Total Revenue]]</f>
        <v>377.55279999999999</v>
      </c>
    </row>
    <row r="95" spans="1:10" x14ac:dyDescent="0.35">
      <c r="A95" s="4">
        <v>10094</v>
      </c>
      <c r="B95" s="5">
        <v>45385</v>
      </c>
      <c r="C95" s="6" t="s">
        <v>21</v>
      </c>
      <c r="D95" s="6" t="s">
        <v>114</v>
      </c>
      <c r="E95" s="6">
        <v>3</v>
      </c>
      <c r="F95" s="6">
        <v>14.99</v>
      </c>
      <c r="G95" s="6">
        <v>44.97</v>
      </c>
      <c r="H95" s="6" t="s">
        <v>11</v>
      </c>
      <c r="I95" s="7" t="s">
        <v>12</v>
      </c>
      <c r="J95" s="6">
        <f>(Table1[[#This Row],[Total Revenue]] * 0.18) + Table1[[#This Row],[Total Revenue]]</f>
        <v>53.064599999999999</v>
      </c>
    </row>
    <row r="96" spans="1:10" x14ac:dyDescent="0.35">
      <c r="A96" s="4">
        <v>10095</v>
      </c>
      <c r="B96" s="5">
        <v>45386</v>
      </c>
      <c r="C96" s="6" t="s">
        <v>23</v>
      </c>
      <c r="D96" s="6" t="s">
        <v>115</v>
      </c>
      <c r="E96" s="6">
        <v>1</v>
      </c>
      <c r="F96" s="6">
        <v>68</v>
      </c>
      <c r="G96" s="6">
        <v>68</v>
      </c>
      <c r="H96" s="6" t="s">
        <v>15</v>
      </c>
      <c r="I96" s="7" t="s">
        <v>16</v>
      </c>
      <c r="J96" s="6">
        <f>(Table1[[#This Row],[Total Revenue]] * 0.18) + Table1[[#This Row],[Total Revenue]]</f>
        <v>80.239999999999995</v>
      </c>
    </row>
    <row r="97" spans="1:10" x14ac:dyDescent="0.35">
      <c r="A97" s="4">
        <v>10096</v>
      </c>
      <c r="B97" s="5">
        <v>45387</v>
      </c>
      <c r="C97" s="6" t="s">
        <v>25</v>
      </c>
      <c r="D97" s="6" t="s">
        <v>116</v>
      </c>
      <c r="E97" s="6">
        <v>1</v>
      </c>
      <c r="F97" s="6">
        <v>999.99</v>
      </c>
      <c r="G97" s="6">
        <v>999.99</v>
      </c>
      <c r="H97" s="6" t="s">
        <v>19</v>
      </c>
      <c r="I97" s="7" t="s">
        <v>12</v>
      </c>
      <c r="J97" s="6">
        <f>(Table1[[#This Row],[Total Revenue]] * 0.18) + Table1[[#This Row],[Total Revenue]]</f>
        <v>1179.9882</v>
      </c>
    </row>
    <row r="98" spans="1:10" x14ac:dyDescent="0.35">
      <c r="A98" s="4">
        <v>10097</v>
      </c>
      <c r="B98" s="5">
        <v>45388</v>
      </c>
      <c r="C98" s="6" t="s">
        <v>9</v>
      </c>
      <c r="D98" s="6" t="s">
        <v>117</v>
      </c>
      <c r="E98" s="6">
        <v>3</v>
      </c>
      <c r="F98" s="6">
        <v>299.99</v>
      </c>
      <c r="G98" s="6">
        <v>899.97</v>
      </c>
      <c r="H98" s="6" t="s">
        <v>11</v>
      </c>
      <c r="I98" s="7" t="s">
        <v>12</v>
      </c>
      <c r="J98" s="6">
        <f>(Table1[[#This Row],[Total Revenue]] * 0.18) + Table1[[#This Row],[Total Revenue]]</f>
        <v>1061.9646</v>
      </c>
    </row>
    <row r="99" spans="1:10" x14ac:dyDescent="0.35">
      <c r="A99" s="4">
        <v>10098</v>
      </c>
      <c r="B99" s="5">
        <v>45389</v>
      </c>
      <c r="C99" s="6" t="s">
        <v>13</v>
      </c>
      <c r="D99" s="6" t="s">
        <v>118</v>
      </c>
      <c r="E99" s="6">
        <v>1</v>
      </c>
      <c r="F99" s="6">
        <v>349.99</v>
      </c>
      <c r="G99" s="6">
        <v>349.99</v>
      </c>
      <c r="H99" s="6" t="s">
        <v>15</v>
      </c>
      <c r="I99" s="7" t="s">
        <v>16</v>
      </c>
      <c r="J99" s="6">
        <f>(Table1[[#This Row],[Total Revenue]] * 0.18) + Table1[[#This Row],[Total Revenue]]</f>
        <v>412.98820000000001</v>
      </c>
    </row>
    <row r="100" spans="1:10" x14ac:dyDescent="0.35">
      <c r="A100" s="4">
        <v>10099</v>
      </c>
      <c r="B100" s="5">
        <v>45390</v>
      </c>
      <c r="C100" s="6" t="s">
        <v>17</v>
      </c>
      <c r="D100" s="6" t="s">
        <v>119</v>
      </c>
      <c r="E100" s="6">
        <v>6</v>
      </c>
      <c r="F100" s="6">
        <v>19.989999999999998</v>
      </c>
      <c r="G100" s="6">
        <v>119.94</v>
      </c>
      <c r="H100" s="6" t="s">
        <v>19</v>
      </c>
      <c r="I100" s="7" t="s">
        <v>20</v>
      </c>
      <c r="J100" s="6">
        <f>(Table1[[#This Row],[Total Revenue]] * 0.18) + Table1[[#This Row],[Total Revenue]]</f>
        <v>141.5292</v>
      </c>
    </row>
    <row r="101" spans="1:10" x14ac:dyDescent="0.35">
      <c r="A101" s="4">
        <v>10100</v>
      </c>
      <c r="B101" s="5">
        <v>45391</v>
      </c>
      <c r="C101" s="6" t="s">
        <v>21</v>
      </c>
      <c r="D101" s="6" t="s">
        <v>120</v>
      </c>
      <c r="E101" s="6">
        <v>2</v>
      </c>
      <c r="F101" s="6">
        <v>12.99</v>
      </c>
      <c r="G101" s="6">
        <v>25.98</v>
      </c>
      <c r="H101" s="6" t="s">
        <v>11</v>
      </c>
      <c r="I101" s="7" t="s">
        <v>12</v>
      </c>
      <c r="J101" s="6">
        <f>(Table1[[#This Row],[Total Revenue]] * 0.18) + Table1[[#This Row],[Total Revenue]]</f>
        <v>30.656400000000001</v>
      </c>
    </row>
    <row r="102" spans="1:10" x14ac:dyDescent="0.35">
      <c r="A102" s="4">
        <v>10101</v>
      </c>
      <c r="B102" s="5">
        <v>45392</v>
      </c>
      <c r="C102" s="6" t="s">
        <v>23</v>
      </c>
      <c r="D102" s="6" t="s">
        <v>121</v>
      </c>
      <c r="E102" s="6">
        <v>1</v>
      </c>
      <c r="F102" s="6">
        <v>82</v>
      </c>
      <c r="G102" s="6">
        <v>82</v>
      </c>
      <c r="H102" s="6" t="s">
        <v>15</v>
      </c>
      <c r="I102" s="7" t="s">
        <v>16</v>
      </c>
      <c r="J102" s="6">
        <f>(Table1[[#This Row],[Total Revenue]] * 0.18) + Table1[[#This Row],[Total Revenue]]</f>
        <v>96.76</v>
      </c>
    </row>
    <row r="103" spans="1:10" x14ac:dyDescent="0.35">
      <c r="A103" s="4">
        <v>10102</v>
      </c>
      <c r="B103" s="5">
        <v>45393</v>
      </c>
      <c r="C103" s="6" t="s">
        <v>25</v>
      </c>
      <c r="D103" s="6" t="s">
        <v>122</v>
      </c>
      <c r="E103" s="6">
        <v>2</v>
      </c>
      <c r="F103" s="6">
        <v>109.99</v>
      </c>
      <c r="G103" s="6">
        <v>219.98</v>
      </c>
      <c r="H103" s="6" t="s">
        <v>19</v>
      </c>
      <c r="I103" s="7" t="s">
        <v>12</v>
      </c>
      <c r="J103" s="6">
        <f>(Table1[[#This Row],[Total Revenue]] * 0.18) + Table1[[#This Row],[Total Revenue]]</f>
        <v>259.57639999999998</v>
      </c>
    </row>
    <row r="104" spans="1:10" x14ac:dyDescent="0.35">
      <c r="A104" s="4">
        <v>10103</v>
      </c>
      <c r="B104" s="5">
        <v>45394</v>
      </c>
      <c r="C104" s="6" t="s">
        <v>9</v>
      </c>
      <c r="D104" s="6" t="s">
        <v>123</v>
      </c>
      <c r="E104" s="6">
        <v>1</v>
      </c>
      <c r="F104" s="6">
        <v>3899.99</v>
      </c>
      <c r="G104" s="6">
        <v>3899.99</v>
      </c>
      <c r="H104" s="6" t="s">
        <v>11</v>
      </c>
      <c r="I104" s="7" t="s">
        <v>12</v>
      </c>
      <c r="J104" s="6">
        <f>(Table1[[#This Row],[Total Revenue]] * 0.18) + Table1[[#This Row],[Total Revenue]]</f>
        <v>4601.9881999999998</v>
      </c>
    </row>
    <row r="105" spans="1:10" x14ac:dyDescent="0.35">
      <c r="A105" s="4">
        <v>10104</v>
      </c>
      <c r="B105" s="5">
        <v>45395</v>
      </c>
      <c r="C105" s="6" t="s">
        <v>13</v>
      </c>
      <c r="D105" s="6" t="s">
        <v>124</v>
      </c>
      <c r="E105" s="6">
        <v>2</v>
      </c>
      <c r="F105" s="6">
        <v>349.99</v>
      </c>
      <c r="G105" s="6">
        <v>699.98</v>
      </c>
      <c r="H105" s="6" t="s">
        <v>15</v>
      </c>
      <c r="I105" s="7" t="s">
        <v>16</v>
      </c>
      <c r="J105" s="6">
        <f>(Table1[[#This Row],[Total Revenue]] * 0.18) + Table1[[#This Row],[Total Revenue]]</f>
        <v>825.97640000000001</v>
      </c>
    </row>
    <row r="106" spans="1:10" x14ac:dyDescent="0.35">
      <c r="A106" s="4">
        <v>10105</v>
      </c>
      <c r="B106" s="5">
        <v>45396</v>
      </c>
      <c r="C106" s="6" t="s">
        <v>17</v>
      </c>
      <c r="D106" s="6" t="s">
        <v>125</v>
      </c>
      <c r="E106" s="6">
        <v>3</v>
      </c>
      <c r="F106" s="6">
        <v>39.99</v>
      </c>
      <c r="G106" s="6">
        <v>119.97</v>
      </c>
      <c r="H106" s="6" t="s">
        <v>19</v>
      </c>
      <c r="I106" s="7" t="s">
        <v>20</v>
      </c>
      <c r="J106" s="6">
        <f>(Table1[[#This Row],[Total Revenue]] * 0.18) + Table1[[#This Row],[Total Revenue]]</f>
        <v>141.56459999999998</v>
      </c>
    </row>
    <row r="107" spans="1:10" x14ac:dyDescent="0.35">
      <c r="A107" s="4">
        <v>10106</v>
      </c>
      <c r="B107" s="5">
        <v>45397</v>
      </c>
      <c r="C107" s="6" t="s">
        <v>21</v>
      </c>
      <c r="D107" s="6" t="s">
        <v>126</v>
      </c>
      <c r="E107" s="6">
        <v>4</v>
      </c>
      <c r="F107" s="6">
        <v>10.99</v>
      </c>
      <c r="G107" s="6">
        <v>43.96</v>
      </c>
      <c r="H107" s="6" t="s">
        <v>11</v>
      </c>
      <c r="I107" s="7" t="s">
        <v>12</v>
      </c>
      <c r="J107" s="6">
        <f>(Table1[[#This Row],[Total Revenue]] * 0.18) + Table1[[#This Row],[Total Revenue]]</f>
        <v>51.872799999999998</v>
      </c>
    </row>
    <row r="108" spans="1:10" x14ac:dyDescent="0.35">
      <c r="A108" s="4">
        <v>10107</v>
      </c>
      <c r="B108" s="5">
        <v>45398</v>
      </c>
      <c r="C108" s="6" t="s">
        <v>23</v>
      </c>
      <c r="D108" s="6" t="s">
        <v>127</v>
      </c>
      <c r="E108" s="6">
        <v>1</v>
      </c>
      <c r="F108" s="6">
        <v>6.5</v>
      </c>
      <c r="G108" s="6">
        <v>6.5</v>
      </c>
      <c r="H108" s="6" t="s">
        <v>15</v>
      </c>
      <c r="I108" s="7" t="s">
        <v>16</v>
      </c>
      <c r="J108" s="6">
        <f>(Table1[[#This Row],[Total Revenue]] * 0.18) + Table1[[#This Row],[Total Revenue]]</f>
        <v>7.67</v>
      </c>
    </row>
    <row r="109" spans="1:10" x14ac:dyDescent="0.35">
      <c r="A109" s="4">
        <v>10108</v>
      </c>
      <c r="B109" s="5">
        <v>45399</v>
      </c>
      <c r="C109" s="6" t="s">
        <v>25</v>
      </c>
      <c r="D109" s="6" t="s">
        <v>128</v>
      </c>
      <c r="E109" s="6">
        <v>1</v>
      </c>
      <c r="F109" s="6">
        <v>399.99</v>
      </c>
      <c r="G109" s="6">
        <v>399.99</v>
      </c>
      <c r="H109" s="6" t="s">
        <v>19</v>
      </c>
      <c r="I109" s="7" t="s">
        <v>12</v>
      </c>
      <c r="J109" s="6">
        <f>(Table1[[#This Row],[Total Revenue]] * 0.18) + Table1[[#This Row],[Total Revenue]]</f>
        <v>471.98820000000001</v>
      </c>
    </row>
    <row r="110" spans="1:10" x14ac:dyDescent="0.35">
      <c r="A110" s="4">
        <v>10109</v>
      </c>
      <c r="B110" s="5">
        <v>45400</v>
      </c>
      <c r="C110" s="6" t="s">
        <v>9</v>
      </c>
      <c r="D110" s="6" t="s">
        <v>129</v>
      </c>
      <c r="E110" s="6">
        <v>2</v>
      </c>
      <c r="F110" s="6">
        <v>229.99</v>
      </c>
      <c r="G110" s="6">
        <v>459.98</v>
      </c>
      <c r="H110" s="6" t="s">
        <v>11</v>
      </c>
      <c r="I110" s="7" t="s">
        <v>12</v>
      </c>
      <c r="J110" s="6">
        <f>(Table1[[#This Row],[Total Revenue]] * 0.18) + Table1[[#This Row],[Total Revenue]]</f>
        <v>542.77639999999997</v>
      </c>
    </row>
    <row r="111" spans="1:10" x14ac:dyDescent="0.35">
      <c r="A111" s="4">
        <v>10110</v>
      </c>
      <c r="B111" s="5">
        <v>45401</v>
      </c>
      <c r="C111" s="6" t="s">
        <v>13</v>
      </c>
      <c r="D111" s="6" t="s">
        <v>130</v>
      </c>
      <c r="E111" s="6">
        <v>1</v>
      </c>
      <c r="F111" s="6">
        <v>159.99</v>
      </c>
      <c r="G111" s="6">
        <v>159.99</v>
      </c>
      <c r="H111" s="6" t="s">
        <v>15</v>
      </c>
      <c r="I111" s="7" t="s">
        <v>16</v>
      </c>
      <c r="J111" s="6">
        <f>(Table1[[#This Row],[Total Revenue]] * 0.18) + Table1[[#This Row],[Total Revenue]]</f>
        <v>188.78820000000002</v>
      </c>
    </row>
    <row r="112" spans="1:10" x14ac:dyDescent="0.35">
      <c r="A112" s="4">
        <v>10111</v>
      </c>
      <c r="B112" s="5">
        <v>45402</v>
      </c>
      <c r="C112" s="6" t="s">
        <v>17</v>
      </c>
      <c r="D112" s="6" t="s">
        <v>131</v>
      </c>
      <c r="E112" s="6">
        <v>4</v>
      </c>
      <c r="F112" s="6">
        <v>14.99</v>
      </c>
      <c r="G112" s="6">
        <v>59.96</v>
      </c>
      <c r="H112" s="6" t="s">
        <v>19</v>
      </c>
      <c r="I112" s="7" t="s">
        <v>20</v>
      </c>
      <c r="J112" s="6">
        <f>(Table1[[#This Row],[Total Revenue]] * 0.18) + Table1[[#This Row],[Total Revenue]]</f>
        <v>70.752800000000008</v>
      </c>
    </row>
    <row r="113" spans="1:10" x14ac:dyDescent="0.35">
      <c r="A113" s="4">
        <v>10112</v>
      </c>
      <c r="B113" s="5">
        <v>45403</v>
      </c>
      <c r="C113" s="6" t="s">
        <v>21</v>
      </c>
      <c r="D113" s="6" t="s">
        <v>132</v>
      </c>
      <c r="E113" s="6">
        <v>2</v>
      </c>
      <c r="F113" s="6">
        <v>18.989999999999998</v>
      </c>
      <c r="G113" s="6">
        <v>37.979999999999997</v>
      </c>
      <c r="H113" s="6" t="s">
        <v>11</v>
      </c>
      <c r="I113" s="7" t="s">
        <v>12</v>
      </c>
      <c r="J113" s="6">
        <f>(Table1[[#This Row],[Total Revenue]] * 0.18) + Table1[[#This Row],[Total Revenue]]</f>
        <v>44.816399999999994</v>
      </c>
    </row>
    <row r="114" spans="1:10" x14ac:dyDescent="0.35">
      <c r="A114" s="4">
        <v>10113</v>
      </c>
      <c r="B114" s="5">
        <v>45404</v>
      </c>
      <c r="C114" s="6" t="s">
        <v>23</v>
      </c>
      <c r="D114" s="6" t="s">
        <v>133</v>
      </c>
      <c r="E114" s="6">
        <v>1</v>
      </c>
      <c r="F114" s="6">
        <v>15</v>
      </c>
      <c r="G114" s="6">
        <v>15</v>
      </c>
      <c r="H114" s="6" t="s">
        <v>15</v>
      </c>
      <c r="I114" s="7" t="s">
        <v>16</v>
      </c>
      <c r="J114" s="6">
        <f>(Table1[[#This Row],[Total Revenue]] * 0.18) + Table1[[#This Row],[Total Revenue]]</f>
        <v>17.7</v>
      </c>
    </row>
    <row r="115" spans="1:10" x14ac:dyDescent="0.35">
      <c r="A115" s="4">
        <v>10114</v>
      </c>
      <c r="B115" s="5">
        <v>45405</v>
      </c>
      <c r="C115" s="6" t="s">
        <v>25</v>
      </c>
      <c r="D115" s="6" t="s">
        <v>134</v>
      </c>
      <c r="E115" s="6">
        <v>3</v>
      </c>
      <c r="F115" s="6">
        <v>229.95</v>
      </c>
      <c r="G115" s="6">
        <v>689.85</v>
      </c>
      <c r="H115" s="6" t="s">
        <v>19</v>
      </c>
      <c r="I115" s="7" t="s">
        <v>12</v>
      </c>
      <c r="J115" s="6">
        <f>(Table1[[#This Row],[Total Revenue]] * 0.18) + Table1[[#This Row],[Total Revenue]]</f>
        <v>814.02300000000002</v>
      </c>
    </row>
    <row r="116" spans="1:10" x14ac:dyDescent="0.35">
      <c r="A116" s="4">
        <v>10115</v>
      </c>
      <c r="B116" s="5">
        <v>45406</v>
      </c>
      <c r="C116" s="6" t="s">
        <v>9</v>
      </c>
      <c r="D116" s="6" t="s">
        <v>135</v>
      </c>
      <c r="E116" s="6">
        <v>1</v>
      </c>
      <c r="F116" s="6">
        <v>249.99</v>
      </c>
      <c r="G116" s="6">
        <v>249.99</v>
      </c>
      <c r="H116" s="6" t="s">
        <v>11</v>
      </c>
      <c r="I116" s="7" t="s">
        <v>12</v>
      </c>
      <c r="J116" s="6">
        <f>(Table1[[#This Row],[Total Revenue]] * 0.18) + Table1[[#This Row],[Total Revenue]]</f>
        <v>294.98820000000001</v>
      </c>
    </row>
    <row r="117" spans="1:10" x14ac:dyDescent="0.35">
      <c r="A117" s="4">
        <v>10116</v>
      </c>
      <c r="B117" s="5">
        <v>45407</v>
      </c>
      <c r="C117" s="6" t="s">
        <v>13</v>
      </c>
      <c r="D117" s="6" t="s">
        <v>136</v>
      </c>
      <c r="E117" s="6">
        <v>2</v>
      </c>
      <c r="F117" s="6">
        <v>299.95</v>
      </c>
      <c r="G117" s="6">
        <v>599.9</v>
      </c>
      <c r="H117" s="6" t="s">
        <v>15</v>
      </c>
      <c r="I117" s="7" t="s">
        <v>16</v>
      </c>
      <c r="J117" s="6">
        <f>(Table1[[#This Row],[Total Revenue]] * 0.18) + Table1[[#This Row],[Total Revenue]]</f>
        <v>707.88199999999995</v>
      </c>
    </row>
    <row r="118" spans="1:10" x14ac:dyDescent="0.35">
      <c r="A118" s="4">
        <v>10117</v>
      </c>
      <c r="B118" s="5">
        <v>45408</v>
      </c>
      <c r="C118" s="6" t="s">
        <v>17</v>
      </c>
      <c r="D118" s="6" t="s">
        <v>137</v>
      </c>
      <c r="E118" s="6">
        <v>3</v>
      </c>
      <c r="F118" s="6">
        <v>49.99</v>
      </c>
      <c r="G118" s="6">
        <v>149.97</v>
      </c>
      <c r="H118" s="6" t="s">
        <v>19</v>
      </c>
      <c r="I118" s="7" t="s">
        <v>20</v>
      </c>
      <c r="J118" s="6">
        <f>(Table1[[#This Row],[Total Revenue]] * 0.18) + Table1[[#This Row],[Total Revenue]]</f>
        <v>176.96459999999999</v>
      </c>
    </row>
    <row r="119" spans="1:10" x14ac:dyDescent="0.35">
      <c r="A119" s="4">
        <v>10118</v>
      </c>
      <c r="B119" s="5">
        <v>45409</v>
      </c>
      <c r="C119" s="6" t="s">
        <v>21</v>
      </c>
      <c r="D119" s="6" t="s">
        <v>138</v>
      </c>
      <c r="E119" s="6">
        <v>4</v>
      </c>
      <c r="F119" s="6">
        <v>16.989999999999998</v>
      </c>
      <c r="G119" s="6">
        <v>67.959999999999994</v>
      </c>
      <c r="H119" s="6" t="s">
        <v>11</v>
      </c>
      <c r="I119" s="7" t="s">
        <v>12</v>
      </c>
      <c r="J119" s="6">
        <f>(Table1[[#This Row],[Total Revenue]] * 0.18) + Table1[[#This Row],[Total Revenue]]</f>
        <v>80.192799999999991</v>
      </c>
    </row>
    <row r="120" spans="1:10" x14ac:dyDescent="0.35">
      <c r="A120" s="4">
        <v>10119</v>
      </c>
      <c r="B120" s="5">
        <v>45410</v>
      </c>
      <c r="C120" s="6" t="s">
        <v>23</v>
      </c>
      <c r="D120" s="6" t="s">
        <v>139</v>
      </c>
      <c r="E120" s="6">
        <v>2</v>
      </c>
      <c r="F120" s="6">
        <v>14.99</v>
      </c>
      <c r="G120" s="6">
        <v>29.98</v>
      </c>
      <c r="H120" s="6" t="s">
        <v>15</v>
      </c>
      <c r="I120" s="7" t="s">
        <v>16</v>
      </c>
      <c r="J120" s="6">
        <f>(Table1[[#This Row],[Total Revenue]] * 0.18) + Table1[[#This Row],[Total Revenue]]</f>
        <v>35.376400000000004</v>
      </c>
    </row>
    <row r="121" spans="1:10" x14ac:dyDescent="0.35">
      <c r="A121" s="4">
        <v>10120</v>
      </c>
      <c r="B121" s="5">
        <v>45411</v>
      </c>
      <c r="C121" s="6" t="s">
        <v>25</v>
      </c>
      <c r="D121" s="6" t="s">
        <v>140</v>
      </c>
      <c r="E121" s="6">
        <v>1</v>
      </c>
      <c r="F121" s="6">
        <v>249.99</v>
      </c>
      <c r="G121" s="6">
        <v>249.99</v>
      </c>
      <c r="H121" s="6" t="s">
        <v>19</v>
      </c>
      <c r="I121" s="7" t="s">
        <v>12</v>
      </c>
      <c r="J121" s="6">
        <f>(Table1[[#This Row],[Total Revenue]] * 0.18) + Table1[[#This Row],[Total Revenue]]</f>
        <v>294.98820000000001</v>
      </c>
    </row>
    <row r="122" spans="1:10" x14ac:dyDescent="0.35">
      <c r="A122" s="4">
        <v>10121</v>
      </c>
      <c r="B122" s="5">
        <v>45412</v>
      </c>
      <c r="C122" s="6" t="s">
        <v>9</v>
      </c>
      <c r="D122" s="6" t="s">
        <v>141</v>
      </c>
      <c r="E122" s="6">
        <v>2</v>
      </c>
      <c r="F122" s="6">
        <v>599.99</v>
      </c>
      <c r="G122" s="6">
        <v>1199.98</v>
      </c>
      <c r="H122" s="6" t="s">
        <v>11</v>
      </c>
      <c r="I122" s="7" t="s">
        <v>12</v>
      </c>
      <c r="J122" s="6">
        <f>(Table1[[#This Row],[Total Revenue]] * 0.18) + Table1[[#This Row],[Total Revenue]]</f>
        <v>1415.9764</v>
      </c>
    </row>
    <row r="123" spans="1:10" x14ac:dyDescent="0.35">
      <c r="A123" s="4">
        <v>10122</v>
      </c>
      <c r="B123" s="5">
        <v>45413</v>
      </c>
      <c r="C123" s="6" t="s">
        <v>13</v>
      </c>
      <c r="D123" s="6" t="s">
        <v>142</v>
      </c>
      <c r="E123" s="6">
        <v>1</v>
      </c>
      <c r="F123" s="6">
        <v>89.99</v>
      </c>
      <c r="G123" s="6">
        <v>89.99</v>
      </c>
      <c r="H123" s="6" t="s">
        <v>15</v>
      </c>
      <c r="I123" s="7" t="s">
        <v>16</v>
      </c>
      <c r="J123" s="6">
        <f>(Table1[[#This Row],[Total Revenue]] * 0.18) + Table1[[#This Row],[Total Revenue]]</f>
        <v>106.18819999999999</v>
      </c>
    </row>
    <row r="124" spans="1:10" x14ac:dyDescent="0.35">
      <c r="A124" s="4">
        <v>10123</v>
      </c>
      <c r="B124" s="5">
        <v>45414</v>
      </c>
      <c r="C124" s="6" t="s">
        <v>17</v>
      </c>
      <c r="D124" s="6" t="s">
        <v>143</v>
      </c>
      <c r="E124" s="6">
        <v>5</v>
      </c>
      <c r="F124" s="6">
        <v>12.99</v>
      </c>
      <c r="G124" s="6">
        <v>64.95</v>
      </c>
      <c r="H124" s="6" t="s">
        <v>19</v>
      </c>
      <c r="I124" s="7" t="s">
        <v>20</v>
      </c>
      <c r="J124" s="6">
        <f>(Table1[[#This Row],[Total Revenue]] * 0.18) + Table1[[#This Row],[Total Revenue]]</f>
        <v>76.641000000000005</v>
      </c>
    </row>
    <row r="125" spans="1:10" x14ac:dyDescent="0.35">
      <c r="A125" s="4">
        <v>10124</v>
      </c>
      <c r="B125" s="5">
        <v>45415</v>
      </c>
      <c r="C125" s="6" t="s">
        <v>21</v>
      </c>
      <c r="D125" s="6" t="s">
        <v>144</v>
      </c>
      <c r="E125" s="6">
        <v>3</v>
      </c>
      <c r="F125" s="6">
        <v>14.99</v>
      </c>
      <c r="G125" s="6">
        <v>44.97</v>
      </c>
      <c r="H125" s="6" t="s">
        <v>11</v>
      </c>
      <c r="I125" s="7" t="s">
        <v>12</v>
      </c>
      <c r="J125" s="6">
        <f>(Table1[[#This Row],[Total Revenue]] * 0.18) + Table1[[#This Row],[Total Revenue]]</f>
        <v>53.064599999999999</v>
      </c>
    </row>
    <row r="126" spans="1:10" x14ac:dyDescent="0.35">
      <c r="A126" s="4">
        <v>10125</v>
      </c>
      <c r="B126" s="5">
        <v>45416</v>
      </c>
      <c r="C126" s="6" t="s">
        <v>23</v>
      </c>
      <c r="D126" s="6" t="s">
        <v>145</v>
      </c>
      <c r="E126" s="6">
        <v>1</v>
      </c>
      <c r="F126" s="6">
        <v>30</v>
      </c>
      <c r="G126" s="6">
        <v>30</v>
      </c>
      <c r="H126" s="6" t="s">
        <v>15</v>
      </c>
      <c r="I126" s="7" t="s">
        <v>16</v>
      </c>
      <c r="J126" s="6">
        <f>(Table1[[#This Row],[Total Revenue]] * 0.18) + Table1[[#This Row],[Total Revenue]]</f>
        <v>35.4</v>
      </c>
    </row>
    <row r="127" spans="1:10" x14ac:dyDescent="0.35">
      <c r="A127" s="4">
        <v>10126</v>
      </c>
      <c r="B127" s="5">
        <v>45417</v>
      </c>
      <c r="C127" s="6" t="s">
        <v>25</v>
      </c>
      <c r="D127" s="6" t="s">
        <v>146</v>
      </c>
      <c r="E127" s="6">
        <v>1</v>
      </c>
      <c r="F127" s="6">
        <v>199.99</v>
      </c>
      <c r="G127" s="6">
        <v>199.99</v>
      </c>
      <c r="H127" s="6" t="s">
        <v>19</v>
      </c>
      <c r="I127" s="7" t="s">
        <v>12</v>
      </c>
      <c r="J127" s="6">
        <f>(Table1[[#This Row],[Total Revenue]] * 0.18) + Table1[[#This Row],[Total Revenue]]</f>
        <v>235.98820000000001</v>
      </c>
    </row>
    <row r="128" spans="1:10" x14ac:dyDescent="0.35">
      <c r="A128" s="4">
        <v>10127</v>
      </c>
      <c r="B128" s="5">
        <v>45418</v>
      </c>
      <c r="C128" s="6" t="s">
        <v>9</v>
      </c>
      <c r="D128" s="6" t="s">
        <v>147</v>
      </c>
      <c r="E128" s="6">
        <v>1</v>
      </c>
      <c r="F128" s="6">
        <v>499.99</v>
      </c>
      <c r="G128" s="6">
        <v>499.99</v>
      </c>
      <c r="H128" s="6" t="s">
        <v>11</v>
      </c>
      <c r="I128" s="7" t="s">
        <v>12</v>
      </c>
      <c r="J128" s="6">
        <f>(Table1[[#This Row],[Total Revenue]] * 0.18) + Table1[[#This Row],[Total Revenue]]</f>
        <v>589.98820000000001</v>
      </c>
    </row>
    <row r="129" spans="1:10" x14ac:dyDescent="0.35">
      <c r="A129" s="4">
        <v>10128</v>
      </c>
      <c r="B129" s="5">
        <v>45419</v>
      </c>
      <c r="C129" s="6" t="s">
        <v>13</v>
      </c>
      <c r="D129" s="6" t="s">
        <v>37</v>
      </c>
      <c r="E129" s="6">
        <v>2</v>
      </c>
      <c r="F129" s="6">
        <v>399.99</v>
      </c>
      <c r="G129" s="6">
        <v>799.98</v>
      </c>
      <c r="H129" s="6" t="s">
        <v>15</v>
      </c>
      <c r="I129" s="7" t="s">
        <v>16</v>
      </c>
      <c r="J129" s="6">
        <f>(Table1[[#This Row],[Total Revenue]] * 0.18) + Table1[[#This Row],[Total Revenue]]</f>
        <v>943.97640000000001</v>
      </c>
    </row>
    <row r="130" spans="1:10" x14ac:dyDescent="0.35">
      <c r="A130" s="4">
        <v>10129</v>
      </c>
      <c r="B130" s="5">
        <v>45420</v>
      </c>
      <c r="C130" s="6" t="s">
        <v>17</v>
      </c>
      <c r="D130" s="6" t="s">
        <v>148</v>
      </c>
      <c r="E130" s="6">
        <v>3</v>
      </c>
      <c r="F130" s="6">
        <v>98</v>
      </c>
      <c r="G130" s="6">
        <v>294</v>
      </c>
      <c r="H130" s="6" t="s">
        <v>19</v>
      </c>
      <c r="I130" s="7" t="s">
        <v>20</v>
      </c>
      <c r="J130" s="6">
        <f>(Table1[[#This Row],[Total Revenue]] * 0.18) + Table1[[#This Row],[Total Revenue]]</f>
        <v>346.92</v>
      </c>
    </row>
    <row r="131" spans="1:10" x14ac:dyDescent="0.35">
      <c r="A131" s="4">
        <v>10130</v>
      </c>
      <c r="B131" s="5">
        <v>45421</v>
      </c>
      <c r="C131" s="6" t="s">
        <v>21</v>
      </c>
      <c r="D131" s="6" t="s">
        <v>149</v>
      </c>
      <c r="E131" s="6">
        <v>2</v>
      </c>
      <c r="F131" s="6">
        <v>8.99</v>
      </c>
      <c r="G131" s="6">
        <v>17.98</v>
      </c>
      <c r="H131" s="6" t="s">
        <v>11</v>
      </c>
      <c r="I131" s="7" t="s">
        <v>12</v>
      </c>
      <c r="J131" s="6">
        <f>(Table1[[#This Row],[Total Revenue]] * 0.18) + Table1[[#This Row],[Total Revenue]]</f>
        <v>21.2164</v>
      </c>
    </row>
    <row r="132" spans="1:10" x14ac:dyDescent="0.35">
      <c r="A132" s="4">
        <v>10131</v>
      </c>
      <c r="B132" s="5">
        <v>45422</v>
      </c>
      <c r="C132" s="6" t="s">
        <v>23</v>
      </c>
      <c r="D132" s="6" t="s">
        <v>150</v>
      </c>
      <c r="E132" s="6">
        <v>1</v>
      </c>
      <c r="F132" s="6">
        <v>36</v>
      </c>
      <c r="G132" s="6">
        <v>36</v>
      </c>
      <c r="H132" s="6" t="s">
        <v>15</v>
      </c>
      <c r="I132" s="7" t="s">
        <v>16</v>
      </c>
      <c r="J132" s="6">
        <f>(Table1[[#This Row],[Total Revenue]] * 0.18) + Table1[[#This Row],[Total Revenue]]</f>
        <v>42.48</v>
      </c>
    </row>
    <row r="133" spans="1:10" x14ac:dyDescent="0.35">
      <c r="A133" s="4">
        <v>10132</v>
      </c>
      <c r="B133" s="5">
        <v>45423</v>
      </c>
      <c r="C133" s="6" t="s">
        <v>25</v>
      </c>
      <c r="D133" s="6" t="s">
        <v>151</v>
      </c>
      <c r="E133" s="6">
        <v>4</v>
      </c>
      <c r="F133" s="6">
        <v>39.950000000000003</v>
      </c>
      <c r="G133" s="6">
        <v>159.80000000000001</v>
      </c>
      <c r="H133" s="6" t="s">
        <v>19</v>
      </c>
      <c r="I133" s="7" t="s">
        <v>12</v>
      </c>
      <c r="J133" s="6">
        <f>(Table1[[#This Row],[Total Revenue]] * 0.18) + Table1[[#This Row],[Total Revenue]]</f>
        <v>188.56400000000002</v>
      </c>
    </row>
    <row r="134" spans="1:10" x14ac:dyDescent="0.35">
      <c r="A134" s="4">
        <v>10133</v>
      </c>
      <c r="B134" s="5">
        <v>45424</v>
      </c>
      <c r="C134" s="6" t="s">
        <v>9</v>
      </c>
      <c r="D134" s="6" t="s">
        <v>152</v>
      </c>
      <c r="E134" s="6">
        <v>1</v>
      </c>
      <c r="F134" s="6">
        <v>1299.99</v>
      </c>
      <c r="G134" s="6">
        <v>1299.99</v>
      </c>
      <c r="H134" s="6" t="s">
        <v>11</v>
      </c>
      <c r="I134" s="7" t="s">
        <v>12</v>
      </c>
      <c r="J134" s="6">
        <f>(Table1[[#This Row],[Total Revenue]] * 0.18) + Table1[[#This Row],[Total Revenue]]</f>
        <v>1533.9882</v>
      </c>
    </row>
    <row r="135" spans="1:10" x14ac:dyDescent="0.35">
      <c r="A135" s="4">
        <v>10134</v>
      </c>
      <c r="B135" s="5">
        <v>45425</v>
      </c>
      <c r="C135" s="6" t="s">
        <v>13</v>
      </c>
      <c r="D135" s="6" t="s">
        <v>153</v>
      </c>
      <c r="E135" s="6">
        <v>2</v>
      </c>
      <c r="F135" s="6">
        <v>79.989999999999995</v>
      </c>
      <c r="G135" s="6">
        <v>159.97999999999999</v>
      </c>
      <c r="H135" s="6" t="s">
        <v>15</v>
      </c>
      <c r="I135" s="7" t="s">
        <v>16</v>
      </c>
      <c r="J135" s="6">
        <f>(Table1[[#This Row],[Total Revenue]] * 0.18) + Table1[[#This Row],[Total Revenue]]</f>
        <v>188.7764</v>
      </c>
    </row>
    <row r="136" spans="1:10" x14ac:dyDescent="0.35">
      <c r="A136" s="4">
        <v>10135</v>
      </c>
      <c r="B136" s="5">
        <v>45426</v>
      </c>
      <c r="C136" s="6" t="s">
        <v>17</v>
      </c>
      <c r="D136" s="6" t="s">
        <v>154</v>
      </c>
      <c r="E136" s="6">
        <v>4</v>
      </c>
      <c r="F136" s="6">
        <v>34.99</v>
      </c>
      <c r="G136" s="6">
        <v>139.96</v>
      </c>
      <c r="H136" s="6" t="s">
        <v>19</v>
      </c>
      <c r="I136" s="7" t="s">
        <v>20</v>
      </c>
      <c r="J136" s="6">
        <f>(Table1[[#This Row],[Total Revenue]] * 0.18) + Table1[[#This Row],[Total Revenue]]</f>
        <v>165.15280000000001</v>
      </c>
    </row>
    <row r="137" spans="1:10" x14ac:dyDescent="0.35">
      <c r="A137" s="4">
        <v>10136</v>
      </c>
      <c r="B137" s="5">
        <v>45427</v>
      </c>
      <c r="C137" s="6" t="s">
        <v>21</v>
      </c>
      <c r="D137" s="6" t="s">
        <v>155</v>
      </c>
      <c r="E137" s="6">
        <v>3</v>
      </c>
      <c r="F137" s="6">
        <v>9.99</v>
      </c>
      <c r="G137" s="6">
        <v>29.97</v>
      </c>
      <c r="H137" s="6" t="s">
        <v>11</v>
      </c>
      <c r="I137" s="7" t="s">
        <v>12</v>
      </c>
      <c r="J137" s="6">
        <f>(Table1[[#This Row],[Total Revenue]] * 0.18) + Table1[[#This Row],[Total Revenue]]</f>
        <v>35.364599999999996</v>
      </c>
    </row>
    <row r="138" spans="1:10" x14ac:dyDescent="0.35">
      <c r="A138" s="4">
        <v>10137</v>
      </c>
      <c r="B138" s="5">
        <v>45428</v>
      </c>
      <c r="C138" s="6" t="s">
        <v>23</v>
      </c>
      <c r="D138" s="6" t="s">
        <v>156</v>
      </c>
      <c r="E138" s="6">
        <v>1</v>
      </c>
      <c r="F138" s="6">
        <v>6.8</v>
      </c>
      <c r="G138" s="6">
        <v>6.8</v>
      </c>
      <c r="H138" s="6" t="s">
        <v>15</v>
      </c>
      <c r="I138" s="7" t="s">
        <v>16</v>
      </c>
      <c r="J138" s="6">
        <f>(Table1[[#This Row],[Total Revenue]] * 0.18) + Table1[[#This Row],[Total Revenue]]</f>
        <v>8.0239999999999991</v>
      </c>
    </row>
    <row r="139" spans="1:10" x14ac:dyDescent="0.35">
      <c r="A139" s="4">
        <v>10138</v>
      </c>
      <c r="B139" s="5">
        <v>45429</v>
      </c>
      <c r="C139" s="6" t="s">
        <v>25</v>
      </c>
      <c r="D139" s="6" t="s">
        <v>157</v>
      </c>
      <c r="E139" s="6">
        <v>2</v>
      </c>
      <c r="F139" s="6">
        <v>99.95</v>
      </c>
      <c r="G139" s="6">
        <v>199.9</v>
      </c>
      <c r="H139" s="6" t="s">
        <v>19</v>
      </c>
      <c r="I139" s="7" t="s">
        <v>12</v>
      </c>
      <c r="J139" s="6">
        <f>(Table1[[#This Row],[Total Revenue]] * 0.18) + Table1[[#This Row],[Total Revenue]]</f>
        <v>235.88200000000001</v>
      </c>
    </row>
    <row r="140" spans="1:10" x14ac:dyDescent="0.35">
      <c r="A140" s="4">
        <v>10139</v>
      </c>
      <c r="B140" s="5">
        <v>45430</v>
      </c>
      <c r="C140" s="6" t="s">
        <v>9</v>
      </c>
      <c r="D140" s="6" t="s">
        <v>158</v>
      </c>
      <c r="E140" s="6">
        <v>1</v>
      </c>
      <c r="F140" s="6">
        <v>1499.99</v>
      </c>
      <c r="G140" s="6">
        <v>1499.99</v>
      </c>
      <c r="H140" s="6" t="s">
        <v>11</v>
      </c>
      <c r="I140" s="7" t="s">
        <v>12</v>
      </c>
      <c r="J140" s="6">
        <f>(Table1[[#This Row],[Total Revenue]] * 0.18) + Table1[[#This Row],[Total Revenue]]</f>
        <v>1769.9882</v>
      </c>
    </row>
    <row r="141" spans="1:10" x14ac:dyDescent="0.35">
      <c r="A141" s="4">
        <v>10140</v>
      </c>
      <c r="B141" s="5">
        <v>45431</v>
      </c>
      <c r="C141" s="6" t="s">
        <v>13</v>
      </c>
      <c r="D141" s="6" t="s">
        <v>159</v>
      </c>
      <c r="E141" s="6">
        <v>1</v>
      </c>
      <c r="F141" s="6">
        <v>139.99</v>
      </c>
      <c r="G141" s="6">
        <v>139.99</v>
      </c>
      <c r="H141" s="6" t="s">
        <v>15</v>
      </c>
      <c r="I141" s="7" t="s">
        <v>16</v>
      </c>
      <c r="J141" s="6">
        <f>(Table1[[#This Row],[Total Revenue]] * 0.18) + Table1[[#This Row],[Total Revenue]]</f>
        <v>165.18819999999999</v>
      </c>
    </row>
    <row r="142" spans="1:10" x14ac:dyDescent="0.35">
      <c r="A142" s="4">
        <v>10141</v>
      </c>
      <c r="B142" s="5">
        <v>45432</v>
      </c>
      <c r="C142" s="6" t="s">
        <v>17</v>
      </c>
      <c r="D142" s="6" t="s">
        <v>160</v>
      </c>
      <c r="E142" s="6">
        <v>3</v>
      </c>
      <c r="F142" s="6">
        <v>44.99</v>
      </c>
      <c r="G142" s="6">
        <v>134.97</v>
      </c>
      <c r="H142" s="6" t="s">
        <v>19</v>
      </c>
      <c r="I142" s="7" t="s">
        <v>20</v>
      </c>
      <c r="J142" s="6">
        <f>(Table1[[#This Row],[Total Revenue]] * 0.18) + Table1[[#This Row],[Total Revenue]]</f>
        <v>159.2646</v>
      </c>
    </row>
    <row r="143" spans="1:10" x14ac:dyDescent="0.35">
      <c r="A143" s="4">
        <v>10142</v>
      </c>
      <c r="B143" s="5">
        <v>45433</v>
      </c>
      <c r="C143" s="6" t="s">
        <v>21</v>
      </c>
      <c r="D143" s="6" t="s">
        <v>161</v>
      </c>
      <c r="E143" s="6">
        <v>2</v>
      </c>
      <c r="F143" s="6">
        <v>11.99</v>
      </c>
      <c r="G143" s="6">
        <v>23.98</v>
      </c>
      <c r="H143" s="6" t="s">
        <v>11</v>
      </c>
      <c r="I143" s="7" t="s">
        <v>12</v>
      </c>
      <c r="J143" s="6">
        <f>(Table1[[#This Row],[Total Revenue]] * 0.18) + Table1[[#This Row],[Total Revenue]]</f>
        <v>28.296399999999998</v>
      </c>
    </row>
    <row r="144" spans="1:10" x14ac:dyDescent="0.35">
      <c r="A144" s="4">
        <v>10143</v>
      </c>
      <c r="B144" s="5">
        <v>45434</v>
      </c>
      <c r="C144" s="6" t="s">
        <v>23</v>
      </c>
      <c r="D144" s="6" t="s">
        <v>162</v>
      </c>
      <c r="E144" s="6">
        <v>1</v>
      </c>
      <c r="F144" s="6">
        <v>29.5</v>
      </c>
      <c r="G144" s="6">
        <v>29.5</v>
      </c>
      <c r="H144" s="6" t="s">
        <v>15</v>
      </c>
      <c r="I144" s="7" t="s">
        <v>16</v>
      </c>
      <c r="J144" s="6">
        <f>(Table1[[#This Row],[Total Revenue]] * 0.18) + Table1[[#This Row],[Total Revenue]]</f>
        <v>34.81</v>
      </c>
    </row>
    <row r="145" spans="1:10" x14ac:dyDescent="0.35">
      <c r="A145" s="4">
        <v>10144</v>
      </c>
      <c r="B145" s="5">
        <v>45435</v>
      </c>
      <c r="C145" s="6" t="s">
        <v>25</v>
      </c>
      <c r="D145" s="6" t="s">
        <v>163</v>
      </c>
      <c r="E145" s="6">
        <v>1</v>
      </c>
      <c r="F145" s="6">
        <v>299.99</v>
      </c>
      <c r="G145" s="6">
        <v>299.99</v>
      </c>
      <c r="H145" s="6" t="s">
        <v>19</v>
      </c>
      <c r="I145" s="7" t="s">
        <v>12</v>
      </c>
      <c r="J145" s="6">
        <f>(Table1[[#This Row],[Total Revenue]] * 0.18) + Table1[[#This Row],[Total Revenue]]</f>
        <v>353.98820000000001</v>
      </c>
    </row>
    <row r="146" spans="1:10" x14ac:dyDescent="0.35">
      <c r="A146" s="4">
        <v>10145</v>
      </c>
      <c r="B146" s="5">
        <v>45436</v>
      </c>
      <c r="C146" s="6" t="s">
        <v>9</v>
      </c>
      <c r="D146" s="6" t="s">
        <v>164</v>
      </c>
      <c r="E146" s="6">
        <v>1</v>
      </c>
      <c r="F146" s="6">
        <v>549</v>
      </c>
      <c r="G146" s="6">
        <v>549</v>
      </c>
      <c r="H146" s="6" t="s">
        <v>11</v>
      </c>
      <c r="I146" s="7" t="s">
        <v>12</v>
      </c>
      <c r="J146" s="6">
        <f>(Table1[[#This Row],[Total Revenue]] * 0.18) + Table1[[#This Row],[Total Revenue]]</f>
        <v>647.81999999999994</v>
      </c>
    </row>
    <row r="147" spans="1:10" x14ac:dyDescent="0.35">
      <c r="A147" s="4">
        <v>10146</v>
      </c>
      <c r="B147" s="5">
        <v>45437</v>
      </c>
      <c r="C147" s="6" t="s">
        <v>13</v>
      </c>
      <c r="D147" s="6" t="s">
        <v>165</v>
      </c>
      <c r="E147" s="6">
        <v>2</v>
      </c>
      <c r="F147" s="6">
        <v>199.95</v>
      </c>
      <c r="G147" s="6">
        <v>399.9</v>
      </c>
      <c r="H147" s="6" t="s">
        <v>15</v>
      </c>
      <c r="I147" s="7" t="s">
        <v>16</v>
      </c>
      <c r="J147" s="6">
        <f>(Table1[[#This Row],[Total Revenue]] * 0.18) + Table1[[#This Row],[Total Revenue]]</f>
        <v>471.88199999999995</v>
      </c>
    </row>
    <row r="148" spans="1:10" x14ac:dyDescent="0.35">
      <c r="A148" s="4">
        <v>10147</v>
      </c>
      <c r="B148" s="5">
        <v>45438</v>
      </c>
      <c r="C148" s="6" t="s">
        <v>17</v>
      </c>
      <c r="D148" s="6" t="s">
        <v>166</v>
      </c>
      <c r="E148" s="6">
        <v>2</v>
      </c>
      <c r="F148" s="6">
        <v>98</v>
      </c>
      <c r="G148" s="6">
        <v>196</v>
      </c>
      <c r="H148" s="6" t="s">
        <v>19</v>
      </c>
      <c r="I148" s="7" t="s">
        <v>20</v>
      </c>
      <c r="J148" s="6">
        <f>(Table1[[#This Row],[Total Revenue]] * 0.18) + Table1[[#This Row],[Total Revenue]]</f>
        <v>231.28</v>
      </c>
    </row>
    <row r="149" spans="1:10" x14ac:dyDescent="0.35">
      <c r="A149" s="4">
        <v>10148</v>
      </c>
      <c r="B149" s="5">
        <v>45439</v>
      </c>
      <c r="C149" s="6" t="s">
        <v>21</v>
      </c>
      <c r="D149" s="6" t="s">
        <v>167</v>
      </c>
      <c r="E149" s="6">
        <v>3</v>
      </c>
      <c r="F149" s="6">
        <v>10.99</v>
      </c>
      <c r="G149" s="6">
        <v>32.97</v>
      </c>
      <c r="H149" s="6" t="s">
        <v>11</v>
      </c>
      <c r="I149" s="7" t="s">
        <v>12</v>
      </c>
      <c r="J149" s="6">
        <f>(Table1[[#This Row],[Total Revenue]] * 0.18) + Table1[[#This Row],[Total Revenue]]</f>
        <v>38.904600000000002</v>
      </c>
    </row>
    <row r="150" spans="1:10" x14ac:dyDescent="0.35">
      <c r="A150" s="4">
        <v>10149</v>
      </c>
      <c r="B150" s="5">
        <v>45440</v>
      </c>
      <c r="C150" s="6" t="s">
        <v>23</v>
      </c>
      <c r="D150" s="6" t="s">
        <v>168</v>
      </c>
      <c r="E150" s="6">
        <v>1</v>
      </c>
      <c r="F150" s="6">
        <v>25</v>
      </c>
      <c r="G150" s="6">
        <v>25</v>
      </c>
      <c r="H150" s="6" t="s">
        <v>15</v>
      </c>
      <c r="I150" s="7" t="s">
        <v>16</v>
      </c>
      <c r="J150" s="6">
        <f>(Table1[[#This Row],[Total Revenue]] * 0.18) + Table1[[#This Row],[Total Revenue]]</f>
        <v>29.5</v>
      </c>
    </row>
    <row r="151" spans="1:10" x14ac:dyDescent="0.35">
      <c r="A151" s="4">
        <v>10150</v>
      </c>
      <c r="B151" s="5">
        <v>45441</v>
      </c>
      <c r="C151" s="6" t="s">
        <v>25</v>
      </c>
      <c r="D151" s="6" t="s">
        <v>169</v>
      </c>
      <c r="E151" s="6">
        <v>2</v>
      </c>
      <c r="F151" s="6">
        <v>149.99</v>
      </c>
      <c r="G151" s="6">
        <v>299.98</v>
      </c>
      <c r="H151" s="6" t="s">
        <v>19</v>
      </c>
      <c r="I151" s="7" t="s">
        <v>12</v>
      </c>
      <c r="J151" s="6">
        <f>(Table1[[#This Row],[Total Revenue]] * 0.18) + Table1[[#This Row],[Total Revenue]]</f>
        <v>353.97640000000001</v>
      </c>
    </row>
    <row r="152" spans="1:10" x14ac:dyDescent="0.35">
      <c r="A152" s="4">
        <v>10151</v>
      </c>
      <c r="B152" s="5">
        <v>45442</v>
      </c>
      <c r="C152" s="6" t="s">
        <v>9</v>
      </c>
      <c r="D152" s="6" t="s">
        <v>51</v>
      </c>
      <c r="E152" s="6">
        <v>1</v>
      </c>
      <c r="F152" s="6">
        <v>349.99</v>
      </c>
      <c r="G152" s="6">
        <v>349.99</v>
      </c>
      <c r="H152" s="6" t="s">
        <v>11</v>
      </c>
      <c r="I152" s="7" t="s">
        <v>12</v>
      </c>
      <c r="J152" s="6">
        <f>(Table1[[#This Row],[Total Revenue]] * 0.18) + Table1[[#This Row],[Total Revenue]]</f>
        <v>412.98820000000001</v>
      </c>
    </row>
    <row r="153" spans="1:10" x14ac:dyDescent="0.35">
      <c r="A153" s="4">
        <v>10152</v>
      </c>
      <c r="B153" s="5">
        <v>45443</v>
      </c>
      <c r="C153" s="6" t="s">
        <v>13</v>
      </c>
      <c r="D153" s="6" t="s">
        <v>170</v>
      </c>
      <c r="E153" s="6">
        <v>2</v>
      </c>
      <c r="F153" s="6">
        <v>199.99</v>
      </c>
      <c r="G153" s="6">
        <v>399.98</v>
      </c>
      <c r="H153" s="6" t="s">
        <v>15</v>
      </c>
      <c r="I153" s="7" t="s">
        <v>16</v>
      </c>
      <c r="J153" s="6">
        <f>(Table1[[#This Row],[Total Revenue]] * 0.18) + Table1[[#This Row],[Total Revenue]]</f>
        <v>471.97640000000001</v>
      </c>
    </row>
    <row r="154" spans="1:10" x14ac:dyDescent="0.35">
      <c r="A154" s="4">
        <v>10153</v>
      </c>
      <c r="B154" s="5">
        <v>45444</v>
      </c>
      <c r="C154" s="6" t="s">
        <v>17</v>
      </c>
      <c r="D154" s="6" t="s">
        <v>171</v>
      </c>
      <c r="E154" s="6">
        <v>3</v>
      </c>
      <c r="F154" s="6">
        <v>54.99</v>
      </c>
      <c r="G154" s="6">
        <v>164.97</v>
      </c>
      <c r="H154" s="6" t="s">
        <v>19</v>
      </c>
      <c r="I154" s="7" t="s">
        <v>20</v>
      </c>
      <c r="J154" s="6">
        <f>(Table1[[#This Row],[Total Revenue]] * 0.18) + Table1[[#This Row],[Total Revenue]]</f>
        <v>194.66460000000001</v>
      </c>
    </row>
    <row r="155" spans="1:10" x14ac:dyDescent="0.35">
      <c r="A155" s="4">
        <v>10154</v>
      </c>
      <c r="B155" s="5">
        <v>45445</v>
      </c>
      <c r="C155" s="6" t="s">
        <v>21</v>
      </c>
      <c r="D155" s="6" t="s">
        <v>172</v>
      </c>
      <c r="E155" s="6">
        <v>2</v>
      </c>
      <c r="F155" s="6">
        <v>16.989999999999998</v>
      </c>
      <c r="G155" s="6">
        <v>33.979999999999997</v>
      </c>
      <c r="H155" s="6" t="s">
        <v>11</v>
      </c>
      <c r="I155" s="7" t="s">
        <v>12</v>
      </c>
      <c r="J155" s="6">
        <f>(Table1[[#This Row],[Total Revenue]] * 0.18) + Table1[[#This Row],[Total Revenue]]</f>
        <v>40.096399999999996</v>
      </c>
    </row>
    <row r="156" spans="1:10" x14ac:dyDescent="0.35">
      <c r="A156" s="4">
        <v>10155</v>
      </c>
      <c r="B156" s="5">
        <v>45446</v>
      </c>
      <c r="C156" s="6" t="s">
        <v>23</v>
      </c>
      <c r="D156" s="6" t="s">
        <v>173</v>
      </c>
      <c r="E156" s="6">
        <v>1</v>
      </c>
      <c r="F156" s="6">
        <v>59</v>
      </c>
      <c r="G156" s="6">
        <v>59</v>
      </c>
      <c r="H156" s="6" t="s">
        <v>15</v>
      </c>
      <c r="I156" s="7" t="s">
        <v>16</v>
      </c>
      <c r="J156" s="6">
        <f>(Table1[[#This Row],[Total Revenue]] * 0.18) + Table1[[#This Row],[Total Revenue]]</f>
        <v>69.62</v>
      </c>
    </row>
    <row r="157" spans="1:10" x14ac:dyDescent="0.35">
      <c r="A157" s="4">
        <v>10156</v>
      </c>
      <c r="B157" s="5">
        <v>45447</v>
      </c>
      <c r="C157" s="6" t="s">
        <v>25</v>
      </c>
      <c r="D157" s="6" t="s">
        <v>174</v>
      </c>
      <c r="E157" s="6">
        <v>1</v>
      </c>
      <c r="F157" s="6">
        <v>299.99</v>
      </c>
      <c r="G157" s="6">
        <v>299.99</v>
      </c>
      <c r="H157" s="6" t="s">
        <v>19</v>
      </c>
      <c r="I157" s="7" t="s">
        <v>12</v>
      </c>
      <c r="J157" s="6">
        <f>(Table1[[#This Row],[Total Revenue]] * 0.18) + Table1[[#This Row],[Total Revenue]]</f>
        <v>353.98820000000001</v>
      </c>
    </row>
    <row r="158" spans="1:10" x14ac:dyDescent="0.35">
      <c r="A158" s="4">
        <v>10157</v>
      </c>
      <c r="B158" s="5">
        <v>45448</v>
      </c>
      <c r="C158" s="6" t="s">
        <v>9</v>
      </c>
      <c r="D158" s="6" t="s">
        <v>175</v>
      </c>
      <c r="E158" s="6">
        <v>1</v>
      </c>
      <c r="F158" s="6">
        <v>899.99</v>
      </c>
      <c r="G158" s="6">
        <v>899.99</v>
      </c>
      <c r="H158" s="6" t="s">
        <v>11</v>
      </c>
      <c r="I158" s="7" t="s">
        <v>12</v>
      </c>
      <c r="J158" s="6">
        <f>(Table1[[#This Row],[Total Revenue]] * 0.18) + Table1[[#This Row],[Total Revenue]]</f>
        <v>1061.9882</v>
      </c>
    </row>
    <row r="159" spans="1:10" x14ac:dyDescent="0.35">
      <c r="A159" s="4">
        <v>10158</v>
      </c>
      <c r="B159" s="5">
        <v>45449</v>
      </c>
      <c r="C159" s="6" t="s">
        <v>13</v>
      </c>
      <c r="D159" s="6" t="s">
        <v>176</v>
      </c>
      <c r="E159" s="6">
        <v>1</v>
      </c>
      <c r="F159" s="6">
        <v>499.95</v>
      </c>
      <c r="G159" s="6">
        <v>499.95</v>
      </c>
      <c r="H159" s="6" t="s">
        <v>15</v>
      </c>
      <c r="I159" s="7" t="s">
        <v>16</v>
      </c>
      <c r="J159" s="6">
        <f>(Table1[[#This Row],[Total Revenue]] * 0.18) + Table1[[#This Row],[Total Revenue]]</f>
        <v>589.94100000000003</v>
      </c>
    </row>
    <row r="160" spans="1:10" x14ac:dyDescent="0.35">
      <c r="A160" s="4">
        <v>10159</v>
      </c>
      <c r="B160" s="5">
        <v>45450</v>
      </c>
      <c r="C160" s="6" t="s">
        <v>17</v>
      </c>
      <c r="D160" s="6" t="s">
        <v>177</v>
      </c>
      <c r="E160" s="6">
        <v>4</v>
      </c>
      <c r="F160" s="6">
        <v>24.99</v>
      </c>
      <c r="G160" s="6">
        <v>99.96</v>
      </c>
      <c r="H160" s="6" t="s">
        <v>19</v>
      </c>
      <c r="I160" s="7" t="s">
        <v>20</v>
      </c>
      <c r="J160" s="6">
        <f>(Table1[[#This Row],[Total Revenue]] * 0.18) + Table1[[#This Row],[Total Revenue]]</f>
        <v>117.9528</v>
      </c>
    </row>
    <row r="161" spans="1:10" x14ac:dyDescent="0.35">
      <c r="A161" s="4">
        <v>10160</v>
      </c>
      <c r="B161" s="5">
        <v>45451</v>
      </c>
      <c r="C161" s="6" t="s">
        <v>21</v>
      </c>
      <c r="D161" s="6" t="s">
        <v>178</v>
      </c>
      <c r="E161" s="6">
        <v>3</v>
      </c>
      <c r="F161" s="6">
        <v>7.99</v>
      </c>
      <c r="G161" s="6">
        <v>23.97</v>
      </c>
      <c r="H161" s="6" t="s">
        <v>11</v>
      </c>
      <c r="I161" s="7" t="s">
        <v>12</v>
      </c>
      <c r="J161" s="6">
        <f>(Table1[[#This Row],[Total Revenue]] * 0.18) + Table1[[#This Row],[Total Revenue]]</f>
        <v>28.284599999999998</v>
      </c>
    </row>
    <row r="162" spans="1:10" x14ac:dyDescent="0.35">
      <c r="A162" s="4">
        <v>10161</v>
      </c>
      <c r="B162" s="5">
        <v>45452</v>
      </c>
      <c r="C162" s="6" t="s">
        <v>23</v>
      </c>
      <c r="D162" s="6" t="s">
        <v>179</v>
      </c>
      <c r="E162" s="6">
        <v>1</v>
      </c>
      <c r="F162" s="6">
        <v>36</v>
      </c>
      <c r="G162" s="6">
        <v>36</v>
      </c>
      <c r="H162" s="6" t="s">
        <v>15</v>
      </c>
      <c r="I162" s="7" t="s">
        <v>16</v>
      </c>
      <c r="J162" s="6">
        <f>(Table1[[#This Row],[Total Revenue]] * 0.18) + Table1[[#This Row],[Total Revenue]]</f>
        <v>42.48</v>
      </c>
    </row>
    <row r="163" spans="1:10" x14ac:dyDescent="0.35">
      <c r="A163" s="4">
        <v>10162</v>
      </c>
      <c r="B163" s="5">
        <v>45453</v>
      </c>
      <c r="C163" s="6" t="s">
        <v>25</v>
      </c>
      <c r="D163" s="6" t="s">
        <v>180</v>
      </c>
      <c r="E163" s="6">
        <v>2</v>
      </c>
      <c r="F163" s="6">
        <v>34.99</v>
      </c>
      <c r="G163" s="6">
        <v>69.98</v>
      </c>
      <c r="H163" s="6" t="s">
        <v>19</v>
      </c>
      <c r="I163" s="7" t="s">
        <v>12</v>
      </c>
      <c r="J163" s="6">
        <f>(Table1[[#This Row],[Total Revenue]] * 0.18) + Table1[[#This Row],[Total Revenue]]</f>
        <v>82.576400000000007</v>
      </c>
    </row>
    <row r="164" spans="1:10" x14ac:dyDescent="0.35">
      <c r="A164" s="4">
        <v>10163</v>
      </c>
      <c r="B164" s="5">
        <v>45454</v>
      </c>
      <c r="C164" s="6" t="s">
        <v>9</v>
      </c>
      <c r="D164" s="6" t="s">
        <v>181</v>
      </c>
      <c r="E164" s="6">
        <v>1</v>
      </c>
      <c r="F164" s="6">
        <v>1199.99</v>
      </c>
      <c r="G164" s="6">
        <v>1199.99</v>
      </c>
      <c r="H164" s="6" t="s">
        <v>11</v>
      </c>
      <c r="I164" s="7" t="s">
        <v>12</v>
      </c>
      <c r="J164" s="6">
        <f>(Table1[[#This Row],[Total Revenue]] * 0.18) + Table1[[#This Row],[Total Revenue]]</f>
        <v>1415.9882</v>
      </c>
    </row>
    <row r="165" spans="1:10" x14ac:dyDescent="0.35">
      <c r="A165" s="4">
        <v>10164</v>
      </c>
      <c r="B165" s="5">
        <v>45455</v>
      </c>
      <c r="C165" s="6" t="s">
        <v>13</v>
      </c>
      <c r="D165" s="6" t="s">
        <v>182</v>
      </c>
      <c r="E165" s="6">
        <v>1</v>
      </c>
      <c r="F165" s="6">
        <v>199.99</v>
      </c>
      <c r="G165" s="6">
        <v>199.99</v>
      </c>
      <c r="H165" s="6" t="s">
        <v>15</v>
      </c>
      <c r="I165" s="7" t="s">
        <v>16</v>
      </c>
      <c r="J165" s="6">
        <f>(Table1[[#This Row],[Total Revenue]] * 0.18) + Table1[[#This Row],[Total Revenue]]</f>
        <v>235.98820000000001</v>
      </c>
    </row>
    <row r="166" spans="1:10" x14ac:dyDescent="0.35">
      <c r="A166" s="4">
        <v>10165</v>
      </c>
      <c r="B166" s="5">
        <v>45456</v>
      </c>
      <c r="C166" s="6" t="s">
        <v>17</v>
      </c>
      <c r="D166" s="6" t="s">
        <v>183</v>
      </c>
      <c r="E166" s="6">
        <v>5</v>
      </c>
      <c r="F166" s="6">
        <v>29.99</v>
      </c>
      <c r="G166" s="6">
        <v>149.94999999999999</v>
      </c>
      <c r="H166" s="6" t="s">
        <v>19</v>
      </c>
      <c r="I166" s="7" t="s">
        <v>20</v>
      </c>
      <c r="J166" s="6">
        <f>(Table1[[#This Row],[Total Revenue]] * 0.18) + Table1[[#This Row],[Total Revenue]]</f>
        <v>176.94099999999997</v>
      </c>
    </row>
    <row r="167" spans="1:10" x14ac:dyDescent="0.35">
      <c r="A167" s="4">
        <v>10166</v>
      </c>
      <c r="B167" s="5">
        <v>45457</v>
      </c>
      <c r="C167" s="6" t="s">
        <v>21</v>
      </c>
      <c r="D167" s="6" t="s">
        <v>184</v>
      </c>
      <c r="E167" s="6">
        <v>4</v>
      </c>
      <c r="F167" s="6">
        <v>8.99</v>
      </c>
      <c r="G167" s="6">
        <v>35.96</v>
      </c>
      <c r="H167" s="6" t="s">
        <v>11</v>
      </c>
      <c r="I167" s="7" t="s">
        <v>12</v>
      </c>
      <c r="J167" s="6">
        <f>(Table1[[#This Row],[Total Revenue]] * 0.18) + Table1[[#This Row],[Total Revenue]]</f>
        <v>42.4328</v>
      </c>
    </row>
    <row r="168" spans="1:10" x14ac:dyDescent="0.35">
      <c r="A168" s="4">
        <v>10167</v>
      </c>
      <c r="B168" s="5">
        <v>45458</v>
      </c>
      <c r="C168" s="6" t="s">
        <v>23</v>
      </c>
      <c r="D168" s="6" t="s">
        <v>185</v>
      </c>
      <c r="E168" s="6">
        <v>1</v>
      </c>
      <c r="F168" s="6">
        <v>16.989999999999998</v>
      </c>
      <c r="G168" s="6">
        <v>16.989999999999998</v>
      </c>
      <c r="H168" s="6" t="s">
        <v>15</v>
      </c>
      <c r="I168" s="7" t="s">
        <v>16</v>
      </c>
      <c r="J168" s="6">
        <f>(Table1[[#This Row],[Total Revenue]] * 0.18) + Table1[[#This Row],[Total Revenue]]</f>
        <v>20.048199999999998</v>
      </c>
    </row>
    <row r="169" spans="1:10" x14ac:dyDescent="0.35">
      <c r="A169" s="4">
        <v>10168</v>
      </c>
      <c r="B169" s="5">
        <v>45459</v>
      </c>
      <c r="C169" s="6" t="s">
        <v>25</v>
      </c>
      <c r="D169" s="6" t="s">
        <v>186</v>
      </c>
      <c r="E169" s="6">
        <v>3</v>
      </c>
      <c r="F169" s="6">
        <v>49.99</v>
      </c>
      <c r="G169" s="6">
        <v>149.97</v>
      </c>
      <c r="H169" s="6" t="s">
        <v>19</v>
      </c>
      <c r="I169" s="7" t="s">
        <v>12</v>
      </c>
      <c r="J169" s="6">
        <f>(Table1[[#This Row],[Total Revenue]] * 0.18) + Table1[[#This Row],[Total Revenue]]</f>
        <v>176.96459999999999</v>
      </c>
    </row>
    <row r="170" spans="1:10" x14ac:dyDescent="0.35">
      <c r="A170" s="4">
        <v>10169</v>
      </c>
      <c r="B170" s="5">
        <v>45460</v>
      </c>
      <c r="C170" s="6" t="s">
        <v>9</v>
      </c>
      <c r="D170" s="6" t="s">
        <v>187</v>
      </c>
      <c r="E170" s="6">
        <v>1</v>
      </c>
      <c r="F170" s="6">
        <v>699.99</v>
      </c>
      <c r="G170" s="6">
        <v>699.99</v>
      </c>
      <c r="H170" s="6" t="s">
        <v>11</v>
      </c>
      <c r="I170" s="7" t="s">
        <v>12</v>
      </c>
      <c r="J170" s="6">
        <f>(Table1[[#This Row],[Total Revenue]] * 0.18) + Table1[[#This Row],[Total Revenue]]</f>
        <v>825.98820000000001</v>
      </c>
    </row>
    <row r="171" spans="1:10" x14ac:dyDescent="0.35">
      <c r="A171" s="4">
        <v>10170</v>
      </c>
      <c r="B171" s="5">
        <v>45461</v>
      </c>
      <c r="C171" s="6" t="s">
        <v>13</v>
      </c>
      <c r="D171" s="6" t="s">
        <v>188</v>
      </c>
      <c r="E171" s="6">
        <v>2</v>
      </c>
      <c r="F171" s="6">
        <v>139.99</v>
      </c>
      <c r="G171" s="6">
        <v>279.98</v>
      </c>
      <c r="H171" s="6" t="s">
        <v>15</v>
      </c>
      <c r="I171" s="7" t="s">
        <v>16</v>
      </c>
      <c r="J171" s="6">
        <f>(Table1[[#This Row],[Total Revenue]] * 0.18) + Table1[[#This Row],[Total Revenue]]</f>
        <v>330.37639999999999</v>
      </c>
    </row>
    <row r="172" spans="1:10" x14ac:dyDescent="0.35">
      <c r="A172" s="4">
        <v>10171</v>
      </c>
      <c r="B172" s="5">
        <v>45462</v>
      </c>
      <c r="C172" s="6" t="s">
        <v>17</v>
      </c>
      <c r="D172" s="6" t="s">
        <v>189</v>
      </c>
      <c r="E172" s="6">
        <v>3</v>
      </c>
      <c r="F172" s="6">
        <v>34.99</v>
      </c>
      <c r="G172" s="6">
        <v>104.97</v>
      </c>
      <c r="H172" s="6" t="s">
        <v>19</v>
      </c>
      <c r="I172" s="7" t="s">
        <v>20</v>
      </c>
      <c r="J172" s="6">
        <f>(Table1[[#This Row],[Total Revenue]] * 0.18) + Table1[[#This Row],[Total Revenue]]</f>
        <v>123.8646</v>
      </c>
    </row>
    <row r="173" spans="1:10" x14ac:dyDescent="0.35">
      <c r="A173" s="4">
        <v>10172</v>
      </c>
      <c r="B173" s="5">
        <v>45463</v>
      </c>
      <c r="C173" s="6" t="s">
        <v>21</v>
      </c>
      <c r="D173" s="6" t="s">
        <v>190</v>
      </c>
      <c r="E173" s="6">
        <v>2</v>
      </c>
      <c r="F173" s="6">
        <v>9.99</v>
      </c>
      <c r="G173" s="6">
        <v>19.98</v>
      </c>
      <c r="H173" s="6" t="s">
        <v>11</v>
      </c>
      <c r="I173" s="7" t="s">
        <v>12</v>
      </c>
      <c r="J173" s="6">
        <f>(Table1[[#This Row],[Total Revenue]] * 0.18) + Table1[[#This Row],[Total Revenue]]</f>
        <v>23.5764</v>
      </c>
    </row>
    <row r="174" spans="1:10" x14ac:dyDescent="0.35">
      <c r="A174" s="4">
        <v>10173</v>
      </c>
      <c r="B174" s="5">
        <v>45464</v>
      </c>
      <c r="C174" s="6" t="s">
        <v>23</v>
      </c>
      <c r="D174" s="6" t="s">
        <v>191</v>
      </c>
      <c r="E174" s="6">
        <v>1</v>
      </c>
      <c r="F174" s="6">
        <v>29.5</v>
      </c>
      <c r="G174" s="6">
        <v>29.5</v>
      </c>
      <c r="H174" s="6" t="s">
        <v>15</v>
      </c>
      <c r="I174" s="7" t="s">
        <v>16</v>
      </c>
      <c r="J174" s="6">
        <f>(Table1[[#This Row],[Total Revenue]] * 0.18) + Table1[[#This Row],[Total Revenue]]</f>
        <v>34.81</v>
      </c>
    </row>
    <row r="175" spans="1:10" x14ac:dyDescent="0.35">
      <c r="A175" s="4">
        <v>10174</v>
      </c>
      <c r="B175" s="5">
        <v>45465</v>
      </c>
      <c r="C175" s="6" t="s">
        <v>25</v>
      </c>
      <c r="D175" s="6" t="s">
        <v>192</v>
      </c>
      <c r="E175" s="6">
        <v>1</v>
      </c>
      <c r="F175" s="6">
        <v>699.99</v>
      </c>
      <c r="G175" s="6">
        <v>699.99</v>
      </c>
      <c r="H175" s="6" t="s">
        <v>19</v>
      </c>
      <c r="I175" s="7" t="s">
        <v>12</v>
      </c>
      <c r="J175" s="6">
        <f>(Table1[[#This Row],[Total Revenue]] * 0.18) + Table1[[#This Row],[Total Revenue]]</f>
        <v>825.98820000000001</v>
      </c>
    </row>
    <row r="176" spans="1:10" x14ac:dyDescent="0.35">
      <c r="A176" s="4">
        <v>10175</v>
      </c>
      <c r="B176" s="5">
        <v>45466</v>
      </c>
      <c r="C176" s="6" t="s">
        <v>9</v>
      </c>
      <c r="D176" s="6" t="s">
        <v>193</v>
      </c>
      <c r="E176" s="6">
        <v>3</v>
      </c>
      <c r="F176" s="6">
        <v>49.99</v>
      </c>
      <c r="G176" s="6">
        <v>149.97</v>
      </c>
      <c r="H176" s="6" t="s">
        <v>11</v>
      </c>
      <c r="I176" s="7" t="s">
        <v>12</v>
      </c>
      <c r="J176" s="6">
        <f>(Table1[[#This Row],[Total Revenue]] * 0.18) + Table1[[#This Row],[Total Revenue]]</f>
        <v>176.96459999999999</v>
      </c>
    </row>
    <row r="177" spans="1:10" x14ac:dyDescent="0.35">
      <c r="A177" s="4">
        <v>10176</v>
      </c>
      <c r="B177" s="5">
        <v>45467</v>
      </c>
      <c r="C177" s="6" t="s">
        <v>13</v>
      </c>
      <c r="D177" s="6" t="s">
        <v>194</v>
      </c>
      <c r="E177" s="6">
        <v>2</v>
      </c>
      <c r="F177" s="6">
        <v>49.99</v>
      </c>
      <c r="G177" s="6">
        <v>99.98</v>
      </c>
      <c r="H177" s="6" t="s">
        <v>15</v>
      </c>
      <c r="I177" s="7" t="s">
        <v>16</v>
      </c>
      <c r="J177" s="6">
        <f>(Table1[[#This Row],[Total Revenue]] * 0.18) + Table1[[#This Row],[Total Revenue]]</f>
        <v>117.97640000000001</v>
      </c>
    </row>
    <row r="178" spans="1:10" x14ac:dyDescent="0.35">
      <c r="A178" s="4">
        <v>10177</v>
      </c>
      <c r="B178" s="5">
        <v>45468</v>
      </c>
      <c r="C178" s="6" t="s">
        <v>17</v>
      </c>
      <c r="D178" s="6" t="s">
        <v>195</v>
      </c>
      <c r="E178" s="6">
        <v>4</v>
      </c>
      <c r="F178" s="6">
        <v>14.9</v>
      </c>
      <c r="G178" s="6">
        <v>59.6</v>
      </c>
      <c r="H178" s="6" t="s">
        <v>19</v>
      </c>
      <c r="I178" s="7" t="s">
        <v>20</v>
      </c>
      <c r="J178" s="6">
        <f>(Table1[[#This Row],[Total Revenue]] * 0.18) + Table1[[#This Row],[Total Revenue]]</f>
        <v>70.328000000000003</v>
      </c>
    </row>
    <row r="179" spans="1:10" x14ac:dyDescent="0.35">
      <c r="A179" s="4">
        <v>10178</v>
      </c>
      <c r="B179" s="5">
        <v>45469</v>
      </c>
      <c r="C179" s="6" t="s">
        <v>21</v>
      </c>
      <c r="D179" s="6" t="s">
        <v>196</v>
      </c>
      <c r="E179" s="6">
        <v>3</v>
      </c>
      <c r="F179" s="6">
        <v>11.99</v>
      </c>
      <c r="G179" s="6">
        <v>35.97</v>
      </c>
      <c r="H179" s="6" t="s">
        <v>11</v>
      </c>
      <c r="I179" s="7" t="s">
        <v>12</v>
      </c>
      <c r="J179" s="6">
        <f>(Table1[[#This Row],[Total Revenue]] * 0.18) + Table1[[#This Row],[Total Revenue]]</f>
        <v>42.444600000000001</v>
      </c>
    </row>
    <row r="180" spans="1:10" x14ac:dyDescent="0.35">
      <c r="A180" s="4">
        <v>10179</v>
      </c>
      <c r="B180" s="5">
        <v>45470</v>
      </c>
      <c r="C180" s="6" t="s">
        <v>23</v>
      </c>
      <c r="D180" s="6" t="s">
        <v>197</v>
      </c>
      <c r="E180" s="6">
        <v>2</v>
      </c>
      <c r="F180" s="6">
        <v>34</v>
      </c>
      <c r="G180" s="6">
        <v>68</v>
      </c>
      <c r="H180" s="6" t="s">
        <v>15</v>
      </c>
      <c r="I180" s="7" t="s">
        <v>16</v>
      </c>
      <c r="J180" s="6">
        <f>(Table1[[#This Row],[Total Revenue]] * 0.18) + Table1[[#This Row],[Total Revenue]]</f>
        <v>80.239999999999995</v>
      </c>
    </row>
    <row r="181" spans="1:10" x14ac:dyDescent="0.35">
      <c r="A181" s="4">
        <v>10180</v>
      </c>
      <c r="B181" s="5">
        <v>45471</v>
      </c>
      <c r="C181" s="6" t="s">
        <v>25</v>
      </c>
      <c r="D181" s="6" t="s">
        <v>198</v>
      </c>
      <c r="E181" s="6">
        <v>1</v>
      </c>
      <c r="F181" s="6">
        <v>146</v>
      </c>
      <c r="G181" s="6">
        <v>146</v>
      </c>
      <c r="H181" s="6" t="s">
        <v>19</v>
      </c>
      <c r="I181" s="7" t="s">
        <v>12</v>
      </c>
      <c r="J181" s="6">
        <f>(Table1[[#This Row],[Total Revenue]] * 0.18) + Table1[[#This Row],[Total Revenue]]</f>
        <v>172.28</v>
      </c>
    </row>
    <row r="182" spans="1:10" x14ac:dyDescent="0.35">
      <c r="A182" s="4">
        <v>10181</v>
      </c>
      <c r="B182" s="5">
        <v>45472</v>
      </c>
      <c r="C182" s="6" t="s">
        <v>9</v>
      </c>
      <c r="D182" s="6" t="s">
        <v>199</v>
      </c>
      <c r="E182" s="6">
        <v>1</v>
      </c>
      <c r="F182" s="6">
        <v>649.99</v>
      </c>
      <c r="G182" s="6">
        <v>649.99</v>
      </c>
      <c r="H182" s="6" t="s">
        <v>11</v>
      </c>
      <c r="I182" s="7" t="s">
        <v>12</v>
      </c>
      <c r="J182" s="6">
        <f>(Table1[[#This Row],[Total Revenue]] * 0.18) + Table1[[#This Row],[Total Revenue]]</f>
        <v>766.98820000000001</v>
      </c>
    </row>
    <row r="183" spans="1:10" x14ac:dyDescent="0.35">
      <c r="A183" s="4">
        <v>10182</v>
      </c>
      <c r="B183" s="5">
        <v>45473</v>
      </c>
      <c r="C183" s="6" t="s">
        <v>13</v>
      </c>
      <c r="D183" s="6" t="s">
        <v>200</v>
      </c>
      <c r="E183" s="6">
        <v>1</v>
      </c>
      <c r="F183" s="6">
        <v>399.99</v>
      </c>
      <c r="G183" s="6">
        <v>399.99</v>
      </c>
      <c r="H183" s="6" t="s">
        <v>15</v>
      </c>
      <c r="I183" s="7" t="s">
        <v>16</v>
      </c>
      <c r="J183" s="6">
        <f>(Table1[[#This Row],[Total Revenue]] * 0.18) + Table1[[#This Row],[Total Revenue]]</f>
        <v>471.98820000000001</v>
      </c>
    </row>
    <row r="184" spans="1:10" x14ac:dyDescent="0.35">
      <c r="A184" s="4">
        <v>10183</v>
      </c>
      <c r="B184" s="5">
        <v>45474</v>
      </c>
      <c r="C184" s="6" t="s">
        <v>17</v>
      </c>
      <c r="D184" s="6" t="s">
        <v>201</v>
      </c>
      <c r="E184" s="6">
        <v>3</v>
      </c>
      <c r="F184" s="6">
        <v>59.99</v>
      </c>
      <c r="G184" s="6">
        <v>179.97</v>
      </c>
      <c r="H184" s="6" t="s">
        <v>19</v>
      </c>
      <c r="I184" s="7" t="s">
        <v>20</v>
      </c>
      <c r="J184" s="6">
        <f>(Table1[[#This Row],[Total Revenue]] * 0.18) + Table1[[#This Row],[Total Revenue]]</f>
        <v>212.3646</v>
      </c>
    </row>
    <row r="185" spans="1:10" x14ac:dyDescent="0.35">
      <c r="A185" s="4">
        <v>10184</v>
      </c>
      <c r="B185" s="5">
        <v>45475</v>
      </c>
      <c r="C185" s="6" t="s">
        <v>21</v>
      </c>
      <c r="D185" s="6" t="s">
        <v>202</v>
      </c>
      <c r="E185" s="6">
        <v>2</v>
      </c>
      <c r="F185" s="6">
        <v>12.99</v>
      </c>
      <c r="G185" s="6">
        <v>25.98</v>
      </c>
      <c r="H185" s="6" t="s">
        <v>11</v>
      </c>
      <c r="I185" s="7" t="s">
        <v>12</v>
      </c>
      <c r="J185" s="6">
        <f>(Table1[[#This Row],[Total Revenue]] * 0.18) + Table1[[#This Row],[Total Revenue]]</f>
        <v>30.656400000000001</v>
      </c>
    </row>
    <row r="186" spans="1:10" x14ac:dyDescent="0.35">
      <c r="A186" s="4">
        <v>10185</v>
      </c>
      <c r="B186" s="5">
        <v>45476</v>
      </c>
      <c r="C186" s="6" t="s">
        <v>23</v>
      </c>
      <c r="D186" s="6" t="s">
        <v>203</v>
      </c>
      <c r="E186" s="6">
        <v>1</v>
      </c>
      <c r="F186" s="6">
        <v>190</v>
      </c>
      <c r="G186" s="6">
        <v>190</v>
      </c>
      <c r="H186" s="6" t="s">
        <v>15</v>
      </c>
      <c r="I186" s="7" t="s">
        <v>16</v>
      </c>
      <c r="J186" s="6">
        <f>(Table1[[#This Row],[Total Revenue]] * 0.18) + Table1[[#This Row],[Total Revenue]]</f>
        <v>224.2</v>
      </c>
    </row>
    <row r="187" spans="1:10" x14ac:dyDescent="0.35">
      <c r="A187" s="4">
        <v>10186</v>
      </c>
      <c r="B187" s="5">
        <v>45477</v>
      </c>
      <c r="C187" s="6" t="s">
        <v>25</v>
      </c>
      <c r="D187" s="6" t="s">
        <v>204</v>
      </c>
      <c r="E187" s="6">
        <v>1</v>
      </c>
      <c r="F187" s="6">
        <v>499.95</v>
      </c>
      <c r="G187" s="6">
        <v>499.95</v>
      </c>
      <c r="H187" s="6" t="s">
        <v>19</v>
      </c>
      <c r="I187" s="7" t="s">
        <v>12</v>
      </c>
      <c r="J187" s="6">
        <f>(Table1[[#This Row],[Total Revenue]] * 0.18) + Table1[[#This Row],[Total Revenue]]</f>
        <v>589.94100000000003</v>
      </c>
    </row>
    <row r="188" spans="1:10" x14ac:dyDescent="0.35">
      <c r="A188" s="4">
        <v>10187</v>
      </c>
      <c r="B188" s="5">
        <v>45478</v>
      </c>
      <c r="C188" s="6" t="s">
        <v>9</v>
      </c>
      <c r="D188" s="6" t="s">
        <v>205</v>
      </c>
      <c r="E188" s="6">
        <v>1</v>
      </c>
      <c r="F188" s="6">
        <v>399</v>
      </c>
      <c r="G188" s="6">
        <v>399</v>
      </c>
      <c r="H188" s="6" t="s">
        <v>11</v>
      </c>
      <c r="I188" s="7" t="s">
        <v>12</v>
      </c>
      <c r="J188" s="6">
        <f>(Table1[[#This Row],[Total Revenue]] * 0.18) + Table1[[#This Row],[Total Revenue]]</f>
        <v>470.82</v>
      </c>
    </row>
    <row r="189" spans="1:10" x14ac:dyDescent="0.35">
      <c r="A189" s="4">
        <v>10188</v>
      </c>
      <c r="B189" s="5">
        <v>45479</v>
      </c>
      <c r="C189" s="6" t="s">
        <v>13</v>
      </c>
      <c r="D189" s="6" t="s">
        <v>206</v>
      </c>
      <c r="E189" s="6">
        <v>2</v>
      </c>
      <c r="F189" s="6">
        <v>199</v>
      </c>
      <c r="G189" s="6">
        <v>398</v>
      </c>
      <c r="H189" s="6" t="s">
        <v>15</v>
      </c>
      <c r="I189" s="7" t="s">
        <v>16</v>
      </c>
      <c r="J189" s="6">
        <f>(Table1[[#This Row],[Total Revenue]] * 0.18) + Table1[[#This Row],[Total Revenue]]</f>
        <v>469.64</v>
      </c>
    </row>
    <row r="190" spans="1:10" x14ac:dyDescent="0.35">
      <c r="A190" s="4">
        <v>10189</v>
      </c>
      <c r="B190" s="5">
        <v>45480</v>
      </c>
      <c r="C190" s="6" t="s">
        <v>17</v>
      </c>
      <c r="D190" s="6" t="s">
        <v>207</v>
      </c>
      <c r="E190" s="6">
        <v>4</v>
      </c>
      <c r="F190" s="6">
        <v>34.99</v>
      </c>
      <c r="G190" s="6">
        <v>139.96</v>
      </c>
      <c r="H190" s="6" t="s">
        <v>19</v>
      </c>
      <c r="I190" s="7" t="s">
        <v>20</v>
      </c>
      <c r="J190" s="6">
        <f>(Table1[[#This Row],[Total Revenue]] * 0.18) + Table1[[#This Row],[Total Revenue]]</f>
        <v>165.15280000000001</v>
      </c>
    </row>
    <row r="191" spans="1:10" x14ac:dyDescent="0.35">
      <c r="A191" s="4">
        <v>10190</v>
      </c>
      <c r="B191" s="5">
        <v>45481</v>
      </c>
      <c r="C191" s="6" t="s">
        <v>21</v>
      </c>
      <c r="D191" s="6" t="s">
        <v>108</v>
      </c>
      <c r="E191" s="6">
        <v>3</v>
      </c>
      <c r="F191" s="6">
        <v>10.99</v>
      </c>
      <c r="G191" s="6">
        <v>32.97</v>
      </c>
      <c r="H191" s="6" t="s">
        <v>11</v>
      </c>
      <c r="I191" s="7" t="s">
        <v>12</v>
      </c>
      <c r="J191" s="6">
        <f>(Table1[[#This Row],[Total Revenue]] * 0.18) + Table1[[#This Row],[Total Revenue]]</f>
        <v>38.904600000000002</v>
      </c>
    </row>
    <row r="192" spans="1:10" x14ac:dyDescent="0.35">
      <c r="A192" s="4">
        <v>10191</v>
      </c>
      <c r="B192" s="5">
        <v>45482</v>
      </c>
      <c r="C192" s="6" t="s">
        <v>23</v>
      </c>
      <c r="D192" s="6" t="s">
        <v>208</v>
      </c>
      <c r="E192" s="6">
        <v>1</v>
      </c>
      <c r="F192" s="6">
        <v>18</v>
      </c>
      <c r="G192" s="6">
        <v>18</v>
      </c>
      <c r="H192" s="6" t="s">
        <v>15</v>
      </c>
      <c r="I192" s="7" t="s">
        <v>16</v>
      </c>
      <c r="J192" s="6">
        <f>(Table1[[#This Row],[Total Revenue]] * 0.18) + Table1[[#This Row],[Total Revenue]]</f>
        <v>21.24</v>
      </c>
    </row>
    <row r="193" spans="1:10" x14ac:dyDescent="0.35">
      <c r="A193" s="4">
        <v>10192</v>
      </c>
      <c r="B193" s="5">
        <v>45483</v>
      </c>
      <c r="C193" s="6" t="s">
        <v>25</v>
      </c>
      <c r="D193" s="6" t="s">
        <v>209</v>
      </c>
      <c r="E193" s="6">
        <v>1</v>
      </c>
      <c r="F193" s="6">
        <v>169.95</v>
      </c>
      <c r="G193" s="6">
        <v>169.95</v>
      </c>
      <c r="H193" s="6" t="s">
        <v>19</v>
      </c>
      <c r="I193" s="7" t="s">
        <v>12</v>
      </c>
      <c r="J193" s="6">
        <f>(Table1[[#This Row],[Total Revenue]] * 0.18) + Table1[[#This Row],[Total Revenue]]</f>
        <v>200.541</v>
      </c>
    </row>
    <row r="194" spans="1:10" x14ac:dyDescent="0.35">
      <c r="A194" s="4">
        <v>10193</v>
      </c>
      <c r="B194" s="5">
        <v>45484</v>
      </c>
      <c r="C194" s="6" t="s">
        <v>9</v>
      </c>
      <c r="D194" s="6" t="s">
        <v>210</v>
      </c>
      <c r="E194" s="6">
        <v>1</v>
      </c>
      <c r="F194" s="6">
        <v>199.99</v>
      </c>
      <c r="G194" s="6">
        <v>199.99</v>
      </c>
      <c r="H194" s="6" t="s">
        <v>11</v>
      </c>
      <c r="I194" s="7" t="s">
        <v>12</v>
      </c>
      <c r="J194" s="6">
        <f>(Table1[[#This Row],[Total Revenue]] * 0.18) + Table1[[#This Row],[Total Revenue]]</f>
        <v>235.98820000000001</v>
      </c>
    </row>
    <row r="195" spans="1:10" x14ac:dyDescent="0.35">
      <c r="A195" s="4">
        <v>10194</v>
      </c>
      <c r="B195" s="5">
        <v>45485</v>
      </c>
      <c r="C195" s="6" t="s">
        <v>13</v>
      </c>
      <c r="D195" s="6" t="s">
        <v>211</v>
      </c>
      <c r="E195" s="6">
        <v>1</v>
      </c>
      <c r="F195" s="6">
        <v>199.95</v>
      </c>
      <c r="G195" s="6">
        <v>199.95</v>
      </c>
      <c r="H195" s="6" t="s">
        <v>15</v>
      </c>
      <c r="I195" s="7" t="s">
        <v>16</v>
      </c>
      <c r="J195" s="6">
        <f>(Table1[[#This Row],[Total Revenue]] * 0.18) + Table1[[#This Row],[Total Revenue]]</f>
        <v>235.94099999999997</v>
      </c>
    </row>
    <row r="196" spans="1:10" x14ac:dyDescent="0.35">
      <c r="A196" s="4">
        <v>10195</v>
      </c>
      <c r="B196" s="5">
        <v>45486</v>
      </c>
      <c r="C196" s="6" t="s">
        <v>17</v>
      </c>
      <c r="D196" s="6" t="s">
        <v>212</v>
      </c>
      <c r="E196" s="6">
        <v>2</v>
      </c>
      <c r="F196" s="6">
        <v>179.99</v>
      </c>
      <c r="G196" s="6">
        <v>359.98</v>
      </c>
      <c r="H196" s="6" t="s">
        <v>19</v>
      </c>
      <c r="I196" s="7" t="s">
        <v>20</v>
      </c>
      <c r="J196" s="6">
        <f>(Table1[[#This Row],[Total Revenue]] * 0.18) + Table1[[#This Row],[Total Revenue]]</f>
        <v>424.77640000000002</v>
      </c>
    </row>
    <row r="197" spans="1:10" x14ac:dyDescent="0.35">
      <c r="A197" s="4">
        <v>10196</v>
      </c>
      <c r="B197" s="5">
        <v>45487</v>
      </c>
      <c r="C197" s="6" t="s">
        <v>21</v>
      </c>
      <c r="D197" s="6" t="s">
        <v>213</v>
      </c>
      <c r="E197" s="6">
        <v>2</v>
      </c>
      <c r="F197" s="6">
        <v>11.99</v>
      </c>
      <c r="G197" s="6">
        <v>23.98</v>
      </c>
      <c r="H197" s="6" t="s">
        <v>11</v>
      </c>
      <c r="I197" s="7" t="s">
        <v>12</v>
      </c>
      <c r="J197" s="6">
        <f>(Table1[[#This Row],[Total Revenue]] * 0.18) + Table1[[#This Row],[Total Revenue]]</f>
        <v>28.296399999999998</v>
      </c>
    </row>
    <row r="198" spans="1:10" x14ac:dyDescent="0.35">
      <c r="A198" s="4">
        <v>10197</v>
      </c>
      <c r="B198" s="5">
        <v>45488</v>
      </c>
      <c r="C198" s="6" t="s">
        <v>23</v>
      </c>
      <c r="D198" s="6" t="s">
        <v>214</v>
      </c>
      <c r="E198" s="6">
        <v>1</v>
      </c>
      <c r="F198" s="6">
        <v>125</v>
      </c>
      <c r="G198" s="6">
        <v>125</v>
      </c>
      <c r="H198" s="6" t="s">
        <v>15</v>
      </c>
      <c r="I198" s="7" t="s">
        <v>16</v>
      </c>
      <c r="J198" s="6">
        <f>(Table1[[#This Row],[Total Revenue]] * 0.18) + Table1[[#This Row],[Total Revenue]]</f>
        <v>147.5</v>
      </c>
    </row>
    <row r="199" spans="1:10" x14ac:dyDescent="0.35">
      <c r="A199" s="4">
        <v>10198</v>
      </c>
      <c r="B199" s="5">
        <v>45489</v>
      </c>
      <c r="C199" s="6" t="s">
        <v>25</v>
      </c>
      <c r="D199" s="6" t="s">
        <v>215</v>
      </c>
      <c r="E199" s="6">
        <v>1</v>
      </c>
      <c r="F199" s="6">
        <v>449.99</v>
      </c>
      <c r="G199" s="6">
        <v>449.99</v>
      </c>
      <c r="H199" s="6" t="s">
        <v>19</v>
      </c>
      <c r="I199" s="7" t="s">
        <v>12</v>
      </c>
      <c r="J199" s="6">
        <f>(Table1[[#This Row],[Total Revenue]] * 0.18) + Table1[[#This Row],[Total Revenue]]</f>
        <v>530.98820000000001</v>
      </c>
    </row>
    <row r="200" spans="1:10" x14ac:dyDescent="0.35">
      <c r="A200" s="4">
        <v>10199</v>
      </c>
      <c r="B200" s="5">
        <v>45490</v>
      </c>
      <c r="C200" s="6" t="s">
        <v>9</v>
      </c>
      <c r="D200" s="6" t="s">
        <v>216</v>
      </c>
      <c r="E200" s="6">
        <v>2</v>
      </c>
      <c r="F200" s="6">
        <v>179</v>
      </c>
      <c r="G200" s="6">
        <v>358</v>
      </c>
      <c r="H200" s="6" t="s">
        <v>11</v>
      </c>
      <c r="I200" s="7" t="s">
        <v>12</v>
      </c>
      <c r="J200" s="6">
        <f>(Table1[[#This Row],[Total Revenue]] * 0.18) + Table1[[#This Row],[Total Revenue]]</f>
        <v>422.44</v>
      </c>
    </row>
    <row r="201" spans="1:10" x14ac:dyDescent="0.35">
      <c r="A201" s="4">
        <v>10200</v>
      </c>
      <c r="B201" s="5">
        <v>45491</v>
      </c>
      <c r="C201" s="6" t="s">
        <v>13</v>
      </c>
      <c r="D201" s="6" t="s">
        <v>217</v>
      </c>
      <c r="E201" s="6">
        <v>1</v>
      </c>
      <c r="F201" s="6">
        <v>99.95</v>
      </c>
      <c r="G201" s="6">
        <v>99.95</v>
      </c>
      <c r="H201" s="6" t="s">
        <v>15</v>
      </c>
      <c r="I201" s="7" t="s">
        <v>16</v>
      </c>
      <c r="J201" s="6">
        <f>(Table1[[#This Row],[Total Revenue]] * 0.18) + Table1[[#This Row],[Total Revenue]]</f>
        <v>117.941</v>
      </c>
    </row>
    <row r="202" spans="1:10" x14ac:dyDescent="0.35">
      <c r="A202" s="4">
        <v>10201</v>
      </c>
      <c r="B202" s="5">
        <v>45492</v>
      </c>
      <c r="C202" s="6" t="s">
        <v>17</v>
      </c>
      <c r="D202" s="6" t="s">
        <v>218</v>
      </c>
      <c r="E202" s="6">
        <v>3</v>
      </c>
      <c r="F202" s="6">
        <v>59.99</v>
      </c>
      <c r="G202" s="6">
        <v>179.97</v>
      </c>
      <c r="H202" s="6" t="s">
        <v>19</v>
      </c>
      <c r="I202" s="7" t="s">
        <v>20</v>
      </c>
      <c r="J202" s="6">
        <f>(Table1[[#This Row],[Total Revenue]] * 0.18) + Table1[[#This Row],[Total Revenue]]</f>
        <v>212.3646</v>
      </c>
    </row>
    <row r="203" spans="1:10" x14ac:dyDescent="0.35">
      <c r="A203" s="4">
        <v>10202</v>
      </c>
      <c r="B203" s="5">
        <v>45493</v>
      </c>
      <c r="C203" s="6" t="s">
        <v>21</v>
      </c>
      <c r="D203" s="6" t="s">
        <v>219</v>
      </c>
      <c r="E203" s="6">
        <v>2</v>
      </c>
      <c r="F203" s="6">
        <v>14.99</v>
      </c>
      <c r="G203" s="6">
        <v>29.98</v>
      </c>
      <c r="H203" s="6" t="s">
        <v>11</v>
      </c>
      <c r="I203" s="7" t="s">
        <v>12</v>
      </c>
      <c r="J203" s="6">
        <f>(Table1[[#This Row],[Total Revenue]] * 0.18) + Table1[[#This Row],[Total Revenue]]</f>
        <v>35.376400000000004</v>
      </c>
    </row>
    <row r="204" spans="1:10" x14ac:dyDescent="0.35">
      <c r="A204" s="4">
        <v>10203</v>
      </c>
      <c r="B204" s="5">
        <v>45494</v>
      </c>
      <c r="C204" s="6" t="s">
        <v>23</v>
      </c>
      <c r="D204" s="6" t="s">
        <v>220</v>
      </c>
      <c r="E204" s="6">
        <v>1</v>
      </c>
      <c r="F204" s="6">
        <v>52</v>
      </c>
      <c r="G204" s="6">
        <v>52</v>
      </c>
      <c r="H204" s="6" t="s">
        <v>15</v>
      </c>
      <c r="I204" s="7" t="s">
        <v>16</v>
      </c>
      <c r="J204" s="6">
        <f>(Table1[[#This Row],[Total Revenue]] * 0.18) + Table1[[#This Row],[Total Revenue]]</f>
        <v>61.36</v>
      </c>
    </row>
    <row r="205" spans="1:10" x14ac:dyDescent="0.35">
      <c r="A205" s="4">
        <v>10204</v>
      </c>
      <c r="B205" s="5">
        <v>45495</v>
      </c>
      <c r="C205" s="6" t="s">
        <v>25</v>
      </c>
      <c r="D205" s="6" t="s">
        <v>221</v>
      </c>
      <c r="E205" s="6">
        <v>1</v>
      </c>
      <c r="F205" s="6">
        <v>399.99</v>
      </c>
      <c r="G205" s="6">
        <v>399.99</v>
      </c>
      <c r="H205" s="6" t="s">
        <v>19</v>
      </c>
      <c r="I205" s="7" t="s">
        <v>12</v>
      </c>
      <c r="J205" s="6">
        <f>(Table1[[#This Row],[Total Revenue]] * 0.18) + Table1[[#This Row],[Total Revenue]]</f>
        <v>471.98820000000001</v>
      </c>
    </row>
    <row r="206" spans="1:10" x14ac:dyDescent="0.35">
      <c r="A206" s="4">
        <v>10205</v>
      </c>
      <c r="B206" s="5">
        <v>45496</v>
      </c>
      <c r="C206" s="6" t="s">
        <v>9</v>
      </c>
      <c r="D206" s="6" t="s">
        <v>222</v>
      </c>
      <c r="E206" s="6">
        <v>1</v>
      </c>
      <c r="F206" s="6">
        <v>299.99</v>
      </c>
      <c r="G206" s="6">
        <v>299.99</v>
      </c>
      <c r="H206" s="6" t="s">
        <v>11</v>
      </c>
      <c r="I206" s="7" t="s">
        <v>12</v>
      </c>
      <c r="J206" s="6">
        <f>(Table1[[#This Row],[Total Revenue]] * 0.18) + Table1[[#This Row],[Total Revenue]]</f>
        <v>353.98820000000001</v>
      </c>
    </row>
    <row r="207" spans="1:10" x14ac:dyDescent="0.35">
      <c r="A207" s="4">
        <v>10206</v>
      </c>
      <c r="B207" s="5">
        <v>45497</v>
      </c>
      <c r="C207" s="6" t="s">
        <v>13</v>
      </c>
      <c r="D207" s="6" t="s">
        <v>223</v>
      </c>
      <c r="E207" s="6">
        <v>1</v>
      </c>
      <c r="F207" s="6">
        <v>379.99</v>
      </c>
      <c r="G207" s="6">
        <v>379.99</v>
      </c>
      <c r="H207" s="6" t="s">
        <v>15</v>
      </c>
      <c r="I207" s="7" t="s">
        <v>16</v>
      </c>
      <c r="J207" s="6">
        <f>(Table1[[#This Row],[Total Revenue]] * 0.18) + Table1[[#This Row],[Total Revenue]]</f>
        <v>448.38819999999998</v>
      </c>
    </row>
    <row r="208" spans="1:10" x14ac:dyDescent="0.35">
      <c r="A208" s="4">
        <v>10207</v>
      </c>
      <c r="B208" s="5">
        <v>45498</v>
      </c>
      <c r="C208" s="6" t="s">
        <v>17</v>
      </c>
      <c r="D208" s="6" t="s">
        <v>224</v>
      </c>
      <c r="E208" s="6">
        <v>2</v>
      </c>
      <c r="F208" s="6">
        <v>98</v>
      </c>
      <c r="G208" s="6">
        <v>196</v>
      </c>
      <c r="H208" s="6" t="s">
        <v>19</v>
      </c>
      <c r="I208" s="7" t="s">
        <v>20</v>
      </c>
      <c r="J208" s="6">
        <f>(Table1[[#This Row],[Total Revenue]] * 0.18) + Table1[[#This Row],[Total Revenue]]</f>
        <v>231.28</v>
      </c>
    </row>
    <row r="209" spans="1:10" x14ac:dyDescent="0.35">
      <c r="A209" s="4">
        <v>10208</v>
      </c>
      <c r="B209" s="5">
        <v>45499</v>
      </c>
      <c r="C209" s="6" t="s">
        <v>21</v>
      </c>
      <c r="D209" s="6" t="s">
        <v>225</v>
      </c>
      <c r="E209" s="6">
        <v>3</v>
      </c>
      <c r="F209" s="6">
        <v>16.989999999999998</v>
      </c>
      <c r="G209" s="6">
        <v>50.97</v>
      </c>
      <c r="H209" s="6" t="s">
        <v>11</v>
      </c>
      <c r="I209" s="7" t="s">
        <v>12</v>
      </c>
      <c r="J209" s="6">
        <f>(Table1[[#This Row],[Total Revenue]] * 0.18) + Table1[[#This Row],[Total Revenue]]</f>
        <v>60.144599999999997</v>
      </c>
    </row>
    <row r="210" spans="1:10" x14ac:dyDescent="0.35">
      <c r="A210" s="4">
        <v>10209</v>
      </c>
      <c r="B210" s="5">
        <v>45500</v>
      </c>
      <c r="C210" s="6" t="s">
        <v>23</v>
      </c>
      <c r="D210" s="6" t="s">
        <v>226</v>
      </c>
      <c r="E210" s="6">
        <v>1</v>
      </c>
      <c r="F210" s="6">
        <v>79</v>
      </c>
      <c r="G210" s="6">
        <v>79</v>
      </c>
      <c r="H210" s="6" t="s">
        <v>15</v>
      </c>
      <c r="I210" s="7" t="s">
        <v>16</v>
      </c>
      <c r="J210" s="6">
        <f>(Table1[[#This Row],[Total Revenue]] * 0.18) + Table1[[#This Row],[Total Revenue]]</f>
        <v>93.22</v>
      </c>
    </row>
    <row r="211" spans="1:10" x14ac:dyDescent="0.35">
      <c r="A211" s="4">
        <v>10210</v>
      </c>
      <c r="B211" s="5">
        <v>45501</v>
      </c>
      <c r="C211" s="6" t="s">
        <v>25</v>
      </c>
      <c r="D211" s="6" t="s">
        <v>227</v>
      </c>
      <c r="E211" s="6">
        <v>1</v>
      </c>
      <c r="F211" s="6">
        <v>129</v>
      </c>
      <c r="G211" s="6">
        <v>129</v>
      </c>
      <c r="H211" s="6" t="s">
        <v>19</v>
      </c>
      <c r="I211" s="7" t="s">
        <v>12</v>
      </c>
      <c r="J211" s="6">
        <f>(Table1[[#This Row],[Total Revenue]] * 0.18) + Table1[[#This Row],[Total Revenue]]</f>
        <v>152.22</v>
      </c>
    </row>
    <row r="212" spans="1:10" x14ac:dyDescent="0.35">
      <c r="A212" s="4">
        <v>10211</v>
      </c>
      <c r="B212" s="5">
        <v>45502</v>
      </c>
      <c r="C212" s="6" t="s">
        <v>9</v>
      </c>
      <c r="D212" s="6" t="s">
        <v>228</v>
      </c>
      <c r="E212" s="6">
        <v>1</v>
      </c>
      <c r="F212" s="6">
        <v>749.99</v>
      </c>
      <c r="G212" s="6">
        <v>749.99</v>
      </c>
      <c r="H212" s="6" t="s">
        <v>11</v>
      </c>
      <c r="I212" s="7" t="s">
        <v>12</v>
      </c>
      <c r="J212" s="6">
        <f>(Table1[[#This Row],[Total Revenue]] * 0.18) + Table1[[#This Row],[Total Revenue]]</f>
        <v>884.98820000000001</v>
      </c>
    </row>
    <row r="213" spans="1:10" x14ac:dyDescent="0.35">
      <c r="A213" s="4">
        <v>10212</v>
      </c>
      <c r="B213" s="5">
        <v>45503</v>
      </c>
      <c r="C213" s="6" t="s">
        <v>13</v>
      </c>
      <c r="D213" s="6" t="s">
        <v>34</v>
      </c>
      <c r="E213" s="6">
        <v>2</v>
      </c>
      <c r="F213" s="6">
        <v>169.99</v>
      </c>
      <c r="G213" s="6">
        <v>339.98</v>
      </c>
      <c r="H213" s="6" t="s">
        <v>15</v>
      </c>
      <c r="I213" s="7" t="s">
        <v>16</v>
      </c>
      <c r="J213" s="6">
        <f>(Table1[[#This Row],[Total Revenue]] * 0.18) + Table1[[#This Row],[Total Revenue]]</f>
        <v>401.1764</v>
      </c>
    </row>
    <row r="214" spans="1:10" x14ac:dyDescent="0.35">
      <c r="A214" s="4">
        <v>10213</v>
      </c>
      <c r="B214" s="5">
        <v>45504</v>
      </c>
      <c r="C214" s="6" t="s">
        <v>17</v>
      </c>
      <c r="D214" s="6" t="s">
        <v>229</v>
      </c>
      <c r="E214" s="6">
        <v>4</v>
      </c>
      <c r="F214" s="6">
        <v>9.9</v>
      </c>
      <c r="G214" s="6">
        <v>39.6</v>
      </c>
      <c r="H214" s="6" t="s">
        <v>19</v>
      </c>
      <c r="I214" s="7" t="s">
        <v>20</v>
      </c>
      <c r="J214" s="6">
        <f>(Table1[[#This Row],[Total Revenue]] * 0.18) + Table1[[#This Row],[Total Revenue]]</f>
        <v>46.728000000000002</v>
      </c>
    </row>
    <row r="215" spans="1:10" x14ac:dyDescent="0.35">
      <c r="A215" s="4">
        <v>10214</v>
      </c>
      <c r="B215" s="5">
        <v>45505</v>
      </c>
      <c r="C215" s="6" t="s">
        <v>21</v>
      </c>
      <c r="D215" s="6" t="s">
        <v>190</v>
      </c>
      <c r="E215" s="6">
        <v>3</v>
      </c>
      <c r="F215" s="6">
        <v>10.99</v>
      </c>
      <c r="G215" s="6">
        <v>32.97</v>
      </c>
      <c r="H215" s="6" t="s">
        <v>11</v>
      </c>
      <c r="I215" s="7" t="s">
        <v>12</v>
      </c>
      <c r="J215" s="6">
        <f>(Table1[[#This Row],[Total Revenue]] * 0.18) + Table1[[#This Row],[Total Revenue]]</f>
        <v>38.904600000000002</v>
      </c>
    </row>
    <row r="216" spans="1:10" x14ac:dyDescent="0.35">
      <c r="A216" s="4">
        <v>10215</v>
      </c>
      <c r="B216" s="5">
        <v>45506</v>
      </c>
      <c r="C216" s="6" t="s">
        <v>23</v>
      </c>
      <c r="D216" s="6" t="s">
        <v>230</v>
      </c>
      <c r="E216" s="6">
        <v>2</v>
      </c>
      <c r="F216" s="6">
        <v>29</v>
      </c>
      <c r="G216" s="6">
        <v>58</v>
      </c>
      <c r="H216" s="6" t="s">
        <v>15</v>
      </c>
      <c r="I216" s="7" t="s">
        <v>16</v>
      </c>
      <c r="J216" s="6">
        <f>(Table1[[#This Row],[Total Revenue]] * 0.18) + Table1[[#This Row],[Total Revenue]]</f>
        <v>68.44</v>
      </c>
    </row>
    <row r="217" spans="1:10" x14ac:dyDescent="0.35">
      <c r="A217" s="4">
        <v>10216</v>
      </c>
      <c r="B217" s="5">
        <v>45507</v>
      </c>
      <c r="C217" s="6" t="s">
        <v>25</v>
      </c>
      <c r="D217" s="6" t="s">
        <v>231</v>
      </c>
      <c r="E217" s="6">
        <v>1</v>
      </c>
      <c r="F217" s="6">
        <v>349.99</v>
      </c>
      <c r="G217" s="6">
        <v>349.99</v>
      </c>
      <c r="H217" s="6" t="s">
        <v>19</v>
      </c>
      <c r="I217" s="7" t="s">
        <v>12</v>
      </c>
      <c r="J217" s="6">
        <f>(Table1[[#This Row],[Total Revenue]] * 0.18) + Table1[[#This Row],[Total Revenue]]</f>
        <v>412.98820000000001</v>
      </c>
    </row>
    <row r="218" spans="1:10" x14ac:dyDescent="0.35">
      <c r="A218" s="4">
        <v>10217</v>
      </c>
      <c r="B218" s="5">
        <v>45508</v>
      </c>
      <c r="C218" s="6" t="s">
        <v>9</v>
      </c>
      <c r="D218" s="6" t="s">
        <v>232</v>
      </c>
      <c r="E218" s="6">
        <v>1</v>
      </c>
      <c r="F218" s="6">
        <v>2399</v>
      </c>
      <c r="G218" s="6">
        <v>2399</v>
      </c>
      <c r="H218" s="6" t="s">
        <v>11</v>
      </c>
      <c r="I218" s="7" t="s">
        <v>12</v>
      </c>
      <c r="J218" s="6">
        <f>(Table1[[#This Row],[Total Revenue]] * 0.18) + Table1[[#This Row],[Total Revenue]]</f>
        <v>2830.82</v>
      </c>
    </row>
    <row r="219" spans="1:10" x14ac:dyDescent="0.35">
      <c r="A219" s="4">
        <v>10218</v>
      </c>
      <c r="B219" s="5">
        <v>45509</v>
      </c>
      <c r="C219" s="6" t="s">
        <v>13</v>
      </c>
      <c r="D219" s="6" t="s">
        <v>233</v>
      </c>
      <c r="E219" s="6">
        <v>1</v>
      </c>
      <c r="F219" s="6">
        <v>449.99</v>
      </c>
      <c r="G219" s="6">
        <v>449.99</v>
      </c>
      <c r="H219" s="6" t="s">
        <v>15</v>
      </c>
      <c r="I219" s="7" t="s">
        <v>16</v>
      </c>
      <c r="J219" s="6">
        <f>(Table1[[#This Row],[Total Revenue]] * 0.18) + Table1[[#This Row],[Total Revenue]]</f>
        <v>530.98820000000001</v>
      </c>
    </row>
    <row r="220" spans="1:10" x14ac:dyDescent="0.35">
      <c r="A220" s="4">
        <v>10219</v>
      </c>
      <c r="B220" s="5">
        <v>45510</v>
      </c>
      <c r="C220" s="6" t="s">
        <v>17</v>
      </c>
      <c r="D220" s="6" t="s">
        <v>234</v>
      </c>
      <c r="E220" s="6">
        <v>3</v>
      </c>
      <c r="F220" s="6">
        <v>49.99</v>
      </c>
      <c r="G220" s="6">
        <v>149.97</v>
      </c>
      <c r="H220" s="6" t="s">
        <v>19</v>
      </c>
      <c r="I220" s="7" t="s">
        <v>20</v>
      </c>
      <c r="J220" s="6">
        <f>(Table1[[#This Row],[Total Revenue]] * 0.18) + Table1[[#This Row],[Total Revenue]]</f>
        <v>176.96459999999999</v>
      </c>
    </row>
    <row r="221" spans="1:10" x14ac:dyDescent="0.35">
      <c r="A221" s="4">
        <v>10220</v>
      </c>
      <c r="B221" s="5">
        <v>45511</v>
      </c>
      <c r="C221" s="6" t="s">
        <v>21</v>
      </c>
      <c r="D221" s="6" t="s">
        <v>235</v>
      </c>
      <c r="E221" s="6">
        <v>2</v>
      </c>
      <c r="F221" s="6">
        <v>12.99</v>
      </c>
      <c r="G221" s="6">
        <v>25.98</v>
      </c>
      <c r="H221" s="6" t="s">
        <v>11</v>
      </c>
      <c r="I221" s="7" t="s">
        <v>12</v>
      </c>
      <c r="J221" s="6">
        <f>(Table1[[#This Row],[Total Revenue]] * 0.18) + Table1[[#This Row],[Total Revenue]]</f>
        <v>30.656400000000001</v>
      </c>
    </row>
    <row r="222" spans="1:10" x14ac:dyDescent="0.35">
      <c r="A222" s="4">
        <v>10221</v>
      </c>
      <c r="B222" s="5">
        <v>45512</v>
      </c>
      <c r="C222" s="6" t="s">
        <v>23</v>
      </c>
      <c r="D222" s="6" t="s">
        <v>236</v>
      </c>
      <c r="E222" s="6">
        <v>1</v>
      </c>
      <c r="F222" s="6">
        <v>27</v>
      </c>
      <c r="G222" s="6">
        <v>27</v>
      </c>
      <c r="H222" s="6" t="s">
        <v>15</v>
      </c>
      <c r="I222" s="7" t="s">
        <v>16</v>
      </c>
      <c r="J222" s="6">
        <f>(Table1[[#This Row],[Total Revenue]] * 0.18) + Table1[[#This Row],[Total Revenue]]</f>
        <v>31.86</v>
      </c>
    </row>
    <row r="223" spans="1:10" x14ac:dyDescent="0.35">
      <c r="A223" s="4">
        <v>10222</v>
      </c>
      <c r="B223" s="5">
        <v>45513</v>
      </c>
      <c r="C223" s="6" t="s">
        <v>25</v>
      </c>
      <c r="D223" s="6" t="s">
        <v>39</v>
      </c>
      <c r="E223" s="6">
        <v>1</v>
      </c>
      <c r="F223" s="6">
        <v>599.99</v>
      </c>
      <c r="G223" s="6">
        <v>599.99</v>
      </c>
      <c r="H223" s="6" t="s">
        <v>19</v>
      </c>
      <c r="I223" s="7" t="s">
        <v>12</v>
      </c>
      <c r="J223" s="6">
        <f>(Table1[[#This Row],[Total Revenue]] * 0.18) + Table1[[#This Row],[Total Revenue]]</f>
        <v>707.98820000000001</v>
      </c>
    </row>
    <row r="224" spans="1:10" x14ac:dyDescent="0.35">
      <c r="A224" s="4">
        <v>10223</v>
      </c>
      <c r="B224" s="5">
        <v>45514</v>
      </c>
      <c r="C224" s="6" t="s">
        <v>9</v>
      </c>
      <c r="D224" s="6" t="s">
        <v>237</v>
      </c>
      <c r="E224" s="6">
        <v>4</v>
      </c>
      <c r="F224" s="6">
        <v>49.99</v>
      </c>
      <c r="G224" s="6">
        <v>199.96</v>
      </c>
      <c r="H224" s="6" t="s">
        <v>11</v>
      </c>
      <c r="I224" s="7" t="s">
        <v>12</v>
      </c>
      <c r="J224" s="6">
        <f>(Table1[[#This Row],[Total Revenue]] * 0.18) + Table1[[#This Row],[Total Revenue]]</f>
        <v>235.95280000000002</v>
      </c>
    </row>
    <row r="225" spans="1:10" x14ac:dyDescent="0.35">
      <c r="A225" s="4">
        <v>10224</v>
      </c>
      <c r="B225" s="5">
        <v>45515</v>
      </c>
      <c r="C225" s="6" t="s">
        <v>13</v>
      </c>
      <c r="D225" s="6" t="s">
        <v>238</v>
      </c>
      <c r="E225" s="6">
        <v>2</v>
      </c>
      <c r="F225" s="6">
        <v>229.99</v>
      </c>
      <c r="G225" s="6">
        <v>459.98</v>
      </c>
      <c r="H225" s="6" t="s">
        <v>15</v>
      </c>
      <c r="I225" s="7" t="s">
        <v>16</v>
      </c>
      <c r="J225" s="6">
        <f>(Table1[[#This Row],[Total Revenue]] * 0.18) + Table1[[#This Row],[Total Revenue]]</f>
        <v>542.77639999999997</v>
      </c>
    </row>
    <row r="226" spans="1:10" x14ac:dyDescent="0.35">
      <c r="A226" s="4">
        <v>10225</v>
      </c>
      <c r="B226" s="5">
        <v>45516</v>
      </c>
      <c r="C226" s="6" t="s">
        <v>17</v>
      </c>
      <c r="D226" s="6" t="s">
        <v>239</v>
      </c>
      <c r="E226" s="6">
        <v>2</v>
      </c>
      <c r="F226" s="6">
        <v>44.99</v>
      </c>
      <c r="G226" s="6">
        <v>89.98</v>
      </c>
      <c r="H226" s="6" t="s">
        <v>19</v>
      </c>
      <c r="I226" s="7" t="s">
        <v>20</v>
      </c>
      <c r="J226" s="6">
        <f>(Table1[[#This Row],[Total Revenue]] * 0.18) + Table1[[#This Row],[Total Revenue]]</f>
        <v>106.1764</v>
      </c>
    </row>
    <row r="227" spans="1:10" x14ac:dyDescent="0.35">
      <c r="A227" s="4">
        <v>10226</v>
      </c>
      <c r="B227" s="5">
        <v>45517</v>
      </c>
      <c r="C227" s="6" t="s">
        <v>21</v>
      </c>
      <c r="D227" s="6" t="s">
        <v>72</v>
      </c>
      <c r="E227" s="6">
        <v>3</v>
      </c>
      <c r="F227" s="6">
        <v>26.99</v>
      </c>
      <c r="G227" s="6">
        <v>80.97</v>
      </c>
      <c r="H227" s="6" t="s">
        <v>11</v>
      </c>
      <c r="I227" s="7" t="s">
        <v>12</v>
      </c>
      <c r="J227" s="6">
        <f>(Table1[[#This Row],[Total Revenue]] * 0.18) + Table1[[#This Row],[Total Revenue]]</f>
        <v>95.544600000000003</v>
      </c>
    </row>
    <row r="228" spans="1:10" x14ac:dyDescent="0.35">
      <c r="A228" s="4">
        <v>10227</v>
      </c>
      <c r="B228" s="5">
        <v>45518</v>
      </c>
      <c r="C228" s="6" t="s">
        <v>23</v>
      </c>
      <c r="D228" s="6" t="s">
        <v>240</v>
      </c>
      <c r="E228" s="6">
        <v>1</v>
      </c>
      <c r="F228" s="6">
        <v>6.7</v>
      </c>
      <c r="G228" s="6">
        <v>6.7</v>
      </c>
      <c r="H228" s="6" t="s">
        <v>15</v>
      </c>
      <c r="I228" s="7" t="s">
        <v>16</v>
      </c>
      <c r="J228" s="6">
        <f>(Table1[[#This Row],[Total Revenue]] * 0.18) + Table1[[#This Row],[Total Revenue]]</f>
        <v>7.9060000000000006</v>
      </c>
    </row>
    <row r="229" spans="1:10" x14ac:dyDescent="0.35">
      <c r="A229" s="4">
        <v>10228</v>
      </c>
      <c r="B229" s="5">
        <v>45519</v>
      </c>
      <c r="C229" s="6" t="s">
        <v>25</v>
      </c>
      <c r="D229" s="6" t="s">
        <v>241</v>
      </c>
      <c r="E229" s="6">
        <v>2</v>
      </c>
      <c r="F229" s="6">
        <v>149.94999999999999</v>
      </c>
      <c r="G229" s="6">
        <v>299.89999999999998</v>
      </c>
      <c r="H229" s="6" t="s">
        <v>19</v>
      </c>
      <c r="I229" s="7" t="s">
        <v>12</v>
      </c>
      <c r="J229" s="6">
        <f>(Table1[[#This Row],[Total Revenue]] * 0.18) + Table1[[#This Row],[Total Revenue]]</f>
        <v>353.88199999999995</v>
      </c>
    </row>
    <row r="230" spans="1:10" x14ac:dyDescent="0.35">
      <c r="A230" s="4">
        <v>10229</v>
      </c>
      <c r="B230" s="5">
        <v>45520</v>
      </c>
      <c r="C230" s="6" t="s">
        <v>9</v>
      </c>
      <c r="D230" s="6" t="s">
        <v>242</v>
      </c>
      <c r="E230" s="6">
        <v>1</v>
      </c>
      <c r="F230" s="6">
        <v>169</v>
      </c>
      <c r="G230" s="6">
        <v>169</v>
      </c>
      <c r="H230" s="6" t="s">
        <v>11</v>
      </c>
      <c r="I230" s="7" t="s">
        <v>12</v>
      </c>
      <c r="J230" s="6">
        <f>(Table1[[#This Row],[Total Revenue]] * 0.18) + Table1[[#This Row],[Total Revenue]]</f>
        <v>199.42</v>
      </c>
    </row>
    <row r="231" spans="1:10" x14ac:dyDescent="0.35">
      <c r="A231" s="4">
        <v>10230</v>
      </c>
      <c r="B231" s="5">
        <v>45521</v>
      </c>
      <c r="C231" s="6" t="s">
        <v>13</v>
      </c>
      <c r="D231" s="6" t="s">
        <v>243</v>
      </c>
      <c r="E231" s="6">
        <v>1</v>
      </c>
      <c r="F231" s="6">
        <v>599</v>
      </c>
      <c r="G231" s="6">
        <v>599</v>
      </c>
      <c r="H231" s="6" t="s">
        <v>15</v>
      </c>
      <c r="I231" s="7" t="s">
        <v>16</v>
      </c>
      <c r="J231" s="6">
        <f>(Table1[[#This Row],[Total Revenue]] * 0.18) + Table1[[#This Row],[Total Revenue]]</f>
        <v>706.81999999999994</v>
      </c>
    </row>
    <row r="232" spans="1:10" x14ac:dyDescent="0.35">
      <c r="A232" s="4">
        <v>10231</v>
      </c>
      <c r="B232" s="5">
        <v>45522</v>
      </c>
      <c r="C232" s="6" t="s">
        <v>17</v>
      </c>
      <c r="D232" s="6" t="s">
        <v>244</v>
      </c>
      <c r="E232" s="6">
        <v>4</v>
      </c>
      <c r="F232" s="6">
        <v>64.989999999999995</v>
      </c>
      <c r="G232" s="6">
        <v>259.95999999999998</v>
      </c>
      <c r="H232" s="6" t="s">
        <v>19</v>
      </c>
      <c r="I232" s="7" t="s">
        <v>20</v>
      </c>
      <c r="J232" s="6">
        <f>(Table1[[#This Row],[Total Revenue]] * 0.18) + Table1[[#This Row],[Total Revenue]]</f>
        <v>306.75279999999998</v>
      </c>
    </row>
    <row r="233" spans="1:10" x14ac:dyDescent="0.35">
      <c r="A233" s="4">
        <v>10232</v>
      </c>
      <c r="B233" s="5">
        <v>45523</v>
      </c>
      <c r="C233" s="6" t="s">
        <v>21</v>
      </c>
      <c r="D233" s="6" t="s">
        <v>30</v>
      </c>
      <c r="E233" s="6">
        <v>2</v>
      </c>
      <c r="F233" s="6">
        <v>9.99</v>
      </c>
      <c r="G233" s="6">
        <v>19.98</v>
      </c>
      <c r="H233" s="6" t="s">
        <v>11</v>
      </c>
      <c r="I233" s="7" t="s">
        <v>12</v>
      </c>
      <c r="J233" s="6">
        <f>(Table1[[#This Row],[Total Revenue]] * 0.18) + Table1[[#This Row],[Total Revenue]]</f>
        <v>23.5764</v>
      </c>
    </row>
    <row r="234" spans="1:10" x14ac:dyDescent="0.35">
      <c r="A234" s="4">
        <v>10233</v>
      </c>
      <c r="B234" s="5">
        <v>45524</v>
      </c>
      <c r="C234" s="6" t="s">
        <v>23</v>
      </c>
      <c r="D234" s="6" t="s">
        <v>245</v>
      </c>
      <c r="E234" s="6">
        <v>1</v>
      </c>
      <c r="F234" s="6">
        <v>24</v>
      </c>
      <c r="G234" s="6">
        <v>24</v>
      </c>
      <c r="H234" s="6" t="s">
        <v>15</v>
      </c>
      <c r="I234" s="7" t="s">
        <v>16</v>
      </c>
      <c r="J234" s="6">
        <f>(Table1[[#This Row],[Total Revenue]] * 0.18) + Table1[[#This Row],[Total Revenue]]</f>
        <v>28.32</v>
      </c>
    </row>
    <row r="235" spans="1:10" x14ac:dyDescent="0.35">
      <c r="A235" s="4">
        <v>10234</v>
      </c>
      <c r="B235" s="5">
        <v>45525</v>
      </c>
      <c r="C235" s="6" t="s">
        <v>25</v>
      </c>
      <c r="D235" s="6" t="s">
        <v>246</v>
      </c>
      <c r="E235" s="6">
        <v>3</v>
      </c>
      <c r="F235" s="6">
        <v>32.950000000000003</v>
      </c>
      <c r="G235" s="6">
        <v>98.85</v>
      </c>
      <c r="H235" s="6" t="s">
        <v>19</v>
      </c>
      <c r="I235" s="7" t="s">
        <v>12</v>
      </c>
      <c r="J235" s="6">
        <f>(Table1[[#This Row],[Total Revenue]] * 0.18) + Table1[[#This Row],[Total Revenue]]</f>
        <v>116.643</v>
      </c>
    </row>
    <row r="236" spans="1:10" x14ac:dyDescent="0.35">
      <c r="A236" s="4">
        <v>10235</v>
      </c>
      <c r="B236" s="5">
        <v>45526</v>
      </c>
      <c r="C236" s="6" t="s">
        <v>9</v>
      </c>
      <c r="D236" s="6" t="s">
        <v>247</v>
      </c>
      <c r="E236" s="6">
        <v>1</v>
      </c>
      <c r="F236" s="6">
        <v>299</v>
      </c>
      <c r="G236" s="6">
        <v>299</v>
      </c>
      <c r="H236" s="6" t="s">
        <v>11</v>
      </c>
      <c r="I236" s="7" t="s">
        <v>12</v>
      </c>
      <c r="J236" s="6">
        <f>(Table1[[#This Row],[Total Revenue]] * 0.18) + Table1[[#This Row],[Total Revenue]]</f>
        <v>352.82</v>
      </c>
    </row>
    <row r="237" spans="1:10" x14ac:dyDescent="0.35">
      <c r="A237" s="4">
        <v>10236</v>
      </c>
      <c r="B237" s="5">
        <v>45527</v>
      </c>
      <c r="C237" s="6" t="s">
        <v>13</v>
      </c>
      <c r="D237" s="6" t="s">
        <v>248</v>
      </c>
      <c r="E237" s="6">
        <v>1</v>
      </c>
      <c r="F237" s="6">
        <v>159.99</v>
      </c>
      <c r="G237" s="6">
        <v>159.99</v>
      </c>
      <c r="H237" s="6" t="s">
        <v>15</v>
      </c>
      <c r="I237" s="7" t="s">
        <v>16</v>
      </c>
      <c r="J237" s="6">
        <f>(Table1[[#This Row],[Total Revenue]] * 0.18) + Table1[[#This Row],[Total Revenue]]</f>
        <v>188.78820000000002</v>
      </c>
    </row>
    <row r="238" spans="1:10" x14ac:dyDescent="0.35">
      <c r="A238" s="4">
        <v>10237</v>
      </c>
      <c r="B238" s="5">
        <v>45528</v>
      </c>
      <c r="C238" s="6" t="s">
        <v>17</v>
      </c>
      <c r="D238" s="6" t="s">
        <v>249</v>
      </c>
      <c r="E238" s="6">
        <v>3</v>
      </c>
      <c r="F238" s="6">
        <v>90</v>
      </c>
      <c r="G238" s="6">
        <v>270</v>
      </c>
      <c r="H238" s="6" t="s">
        <v>19</v>
      </c>
      <c r="I238" s="7" t="s">
        <v>20</v>
      </c>
      <c r="J238" s="6">
        <f>(Table1[[#This Row],[Total Revenue]] * 0.18) + Table1[[#This Row],[Total Revenue]]</f>
        <v>318.60000000000002</v>
      </c>
    </row>
    <row r="239" spans="1:10" x14ac:dyDescent="0.35">
      <c r="A239" s="4">
        <v>10238</v>
      </c>
      <c r="B239" s="5">
        <v>45529</v>
      </c>
      <c r="C239" s="6" t="s">
        <v>21</v>
      </c>
      <c r="D239" s="6" t="s">
        <v>250</v>
      </c>
      <c r="E239" s="6">
        <v>3</v>
      </c>
      <c r="F239" s="6">
        <v>10.99</v>
      </c>
      <c r="G239" s="6">
        <v>32.97</v>
      </c>
      <c r="H239" s="6" t="s">
        <v>11</v>
      </c>
      <c r="I239" s="7" t="s">
        <v>12</v>
      </c>
      <c r="J239" s="6">
        <f>(Table1[[#This Row],[Total Revenue]] * 0.18) + Table1[[#This Row],[Total Revenue]]</f>
        <v>38.904600000000002</v>
      </c>
    </row>
    <row r="240" spans="1:10" x14ac:dyDescent="0.35">
      <c r="A240" s="4">
        <v>10239</v>
      </c>
      <c r="B240" s="5">
        <v>45530</v>
      </c>
      <c r="C240" s="6" t="s">
        <v>23</v>
      </c>
      <c r="D240" s="6" t="s">
        <v>251</v>
      </c>
      <c r="E240" s="6">
        <v>1</v>
      </c>
      <c r="F240" s="6">
        <v>55</v>
      </c>
      <c r="G240" s="6">
        <v>55</v>
      </c>
      <c r="H240" s="6" t="s">
        <v>15</v>
      </c>
      <c r="I240" s="7" t="s">
        <v>16</v>
      </c>
      <c r="J240" s="6">
        <f>(Table1[[#This Row],[Total Revenue]] * 0.18) + Table1[[#This Row],[Total Revenue]]</f>
        <v>64.900000000000006</v>
      </c>
    </row>
    <row r="241" spans="1:10" x14ac:dyDescent="0.35">
      <c r="A241" s="8">
        <v>10240</v>
      </c>
      <c r="B241" s="9">
        <v>45531</v>
      </c>
      <c r="C241" s="10" t="s">
        <v>25</v>
      </c>
      <c r="D241" s="10" t="s">
        <v>252</v>
      </c>
      <c r="E241" s="10">
        <v>2</v>
      </c>
      <c r="F241" s="10">
        <v>29.99</v>
      </c>
      <c r="G241" s="10">
        <v>59.98</v>
      </c>
      <c r="H241" s="10" t="s">
        <v>19</v>
      </c>
      <c r="I241" s="11" t="s">
        <v>12</v>
      </c>
      <c r="J241" s="10">
        <f>(Table1[[#This Row],[Total Revenue]] * 0.18) + Table1[[#This Row],[Total Revenue]]</f>
        <v>70.776399999999995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21"/>
  <sheetViews>
    <sheetView topLeftCell="C1" workbookViewId="0">
      <selection activeCell="L10" sqref="L10"/>
    </sheetView>
  </sheetViews>
  <sheetFormatPr defaultRowHeight="14.5" x14ac:dyDescent="0.35"/>
  <cols>
    <col min="1" max="1" width="11.81640625" bestFit="1" customWidth="1"/>
    <col min="2" max="2" width="10.08984375" bestFit="1" customWidth="1"/>
    <col min="3" max="3" width="15.36328125" bestFit="1" customWidth="1"/>
    <col min="4" max="4" width="48.453125" bestFit="1" customWidth="1"/>
    <col min="5" max="5" width="8.54296875" bestFit="1" customWidth="1"/>
    <col min="6" max="6" width="8.26953125" bestFit="1" customWidth="1"/>
    <col min="7" max="7" width="11.7265625" bestFit="1" customWidth="1"/>
    <col min="8" max="8" width="13" bestFit="1" customWidth="1"/>
    <col min="9" max="9" width="14.1796875" bestFit="1" customWidth="1"/>
    <col min="10" max="10" width="12.90625" bestFit="1" customWidth="1"/>
  </cols>
  <sheetData>
    <row r="1" spans="1:10" x14ac:dyDescent="0.3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1" t="s">
        <v>8</v>
      </c>
      <c r="J1" s="20" t="s">
        <v>253</v>
      </c>
    </row>
    <row r="2" spans="1:10" x14ac:dyDescent="0.35">
      <c r="A2" s="13">
        <v>10122</v>
      </c>
      <c r="B2" s="12">
        <v>45413</v>
      </c>
      <c r="C2" s="13" t="s">
        <v>13</v>
      </c>
      <c r="D2" s="13" t="s">
        <v>142</v>
      </c>
      <c r="E2" s="13">
        <v>1</v>
      </c>
      <c r="F2" s="13">
        <v>89.99</v>
      </c>
      <c r="G2" s="13">
        <v>89.99</v>
      </c>
      <c r="H2" s="13" t="s">
        <v>15</v>
      </c>
      <c r="I2" s="14" t="s">
        <v>16</v>
      </c>
      <c r="J2" s="13">
        <v>106.18819999999999</v>
      </c>
    </row>
    <row r="3" spans="1:10" x14ac:dyDescent="0.35">
      <c r="A3" s="16">
        <v>10123</v>
      </c>
      <c r="B3" s="15">
        <v>45414</v>
      </c>
      <c r="C3" s="16" t="s">
        <v>17</v>
      </c>
      <c r="D3" s="16" t="s">
        <v>143</v>
      </c>
      <c r="E3" s="16">
        <v>5</v>
      </c>
      <c r="F3" s="16">
        <v>12.99</v>
      </c>
      <c r="G3" s="16">
        <v>64.95</v>
      </c>
      <c r="H3" s="16" t="s">
        <v>19</v>
      </c>
      <c r="I3" s="17" t="s">
        <v>20</v>
      </c>
      <c r="J3" s="16">
        <v>76.641000000000005</v>
      </c>
    </row>
    <row r="4" spans="1:10" x14ac:dyDescent="0.35">
      <c r="A4" s="13">
        <v>10124</v>
      </c>
      <c r="B4" s="12">
        <v>45415</v>
      </c>
      <c r="C4" s="13" t="s">
        <v>21</v>
      </c>
      <c r="D4" s="13" t="s">
        <v>144</v>
      </c>
      <c r="E4" s="13">
        <v>3</v>
      </c>
      <c r="F4" s="13">
        <v>14.99</v>
      </c>
      <c r="G4" s="13">
        <v>44.97</v>
      </c>
      <c r="H4" s="13" t="s">
        <v>11</v>
      </c>
      <c r="I4" s="14" t="s">
        <v>12</v>
      </c>
      <c r="J4" s="13">
        <v>53.064599999999999</v>
      </c>
    </row>
    <row r="5" spans="1:10" x14ac:dyDescent="0.35">
      <c r="A5" s="16">
        <v>10125</v>
      </c>
      <c r="B5" s="15">
        <v>45416</v>
      </c>
      <c r="C5" s="16" t="s">
        <v>23</v>
      </c>
      <c r="D5" s="16" t="s">
        <v>145</v>
      </c>
      <c r="E5" s="16">
        <v>1</v>
      </c>
      <c r="F5" s="16">
        <v>30</v>
      </c>
      <c r="G5" s="16">
        <v>30</v>
      </c>
      <c r="H5" s="16" t="s">
        <v>15</v>
      </c>
      <c r="I5" s="17" t="s">
        <v>16</v>
      </c>
      <c r="J5" s="16">
        <v>35.4</v>
      </c>
    </row>
    <row r="6" spans="1:10" x14ac:dyDescent="0.35">
      <c r="A6" s="13">
        <v>10126</v>
      </c>
      <c r="B6" s="12">
        <v>45417</v>
      </c>
      <c r="C6" s="13" t="s">
        <v>25</v>
      </c>
      <c r="D6" s="13" t="s">
        <v>146</v>
      </c>
      <c r="E6" s="13">
        <v>1</v>
      </c>
      <c r="F6" s="13">
        <v>199.99</v>
      </c>
      <c r="G6" s="13">
        <v>199.99</v>
      </c>
      <c r="H6" s="13" t="s">
        <v>19</v>
      </c>
      <c r="I6" s="14" t="s">
        <v>12</v>
      </c>
      <c r="J6" s="13">
        <v>235.98820000000001</v>
      </c>
    </row>
    <row r="7" spans="1:10" x14ac:dyDescent="0.35">
      <c r="A7" s="16">
        <v>10127</v>
      </c>
      <c r="B7" s="15">
        <v>45418</v>
      </c>
      <c r="C7" s="16" t="s">
        <v>9</v>
      </c>
      <c r="D7" s="16" t="s">
        <v>147</v>
      </c>
      <c r="E7" s="16">
        <v>1</v>
      </c>
      <c r="F7" s="16">
        <v>499.99</v>
      </c>
      <c r="G7" s="16">
        <v>499.99</v>
      </c>
      <c r="H7" s="16" t="s">
        <v>11</v>
      </c>
      <c r="I7" s="17" t="s">
        <v>12</v>
      </c>
      <c r="J7" s="16">
        <v>589.98820000000001</v>
      </c>
    </row>
    <row r="8" spans="1:10" x14ac:dyDescent="0.35">
      <c r="A8" s="13">
        <v>10128</v>
      </c>
      <c r="B8" s="12">
        <v>45419</v>
      </c>
      <c r="C8" s="13" t="s">
        <v>13</v>
      </c>
      <c r="D8" s="13" t="s">
        <v>37</v>
      </c>
      <c r="E8" s="13">
        <v>2</v>
      </c>
      <c r="F8" s="13">
        <v>399.99</v>
      </c>
      <c r="G8" s="13">
        <v>799.98</v>
      </c>
      <c r="H8" s="13" t="s">
        <v>15</v>
      </c>
      <c r="I8" s="14" t="s">
        <v>16</v>
      </c>
      <c r="J8" s="13">
        <v>943.97640000000001</v>
      </c>
    </row>
    <row r="9" spans="1:10" x14ac:dyDescent="0.35">
      <c r="A9" s="16">
        <v>10129</v>
      </c>
      <c r="B9" s="15">
        <v>45420</v>
      </c>
      <c r="C9" s="16" t="s">
        <v>17</v>
      </c>
      <c r="D9" s="16" t="s">
        <v>148</v>
      </c>
      <c r="E9" s="16">
        <v>3</v>
      </c>
      <c r="F9" s="16">
        <v>98</v>
      </c>
      <c r="G9" s="16">
        <v>294</v>
      </c>
      <c r="H9" s="16" t="s">
        <v>19</v>
      </c>
      <c r="I9" s="17" t="s">
        <v>20</v>
      </c>
      <c r="J9" s="16">
        <v>346.92</v>
      </c>
    </row>
    <row r="10" spans="1:10" x14ac:dyDescent="0.35">
      <c r="A10" s="13">
        <v>10130</v>
      </c>
      <c r="B10" s="12">
        <v>45421</v>
      </c>
      <c r="C10" s="13" t="s">
        <v>21</v>
      </c>
      <c r="D10" s="13" t="s">
        <v>149</v>
      </c>
      <c r="E10" s="13">
        <v>2</v>
      </c>
      <c r="F10" s="13">
        <v>8.99</v>
      </c>
      <c r="G10" s="13">
        <v>17.98</v>
      </c>
      <c r="H10" s="13" t="s">
        <v>11</v>
      </c>
      <c r="I10" s="14" t="s">
        <v>12</v>
      </c>
      <c r="J10" s="13">
        <v>21.2164</v>
      </c>
    </row>
    <row r="11" spans="1:10" x14ac:dyDescent="0.35">
      <c r="A11" s="16">
        <v>10131</v>
      </c>
      <c r="B11" s="15">
        <v>45422</v>
      </c>
      <c r="C11" s="16" t="s">
        <v>23</v>
      </c>
      <c r="D11" s="16" t="s">
        <v>150</v>
      </c>
      <c r="E11" s="16">
        <v>1</v>
      </c>
      <c r="F11" s="16">
        <v>36</v>
      </c>
      <c r="G11" s="16">
        <v>36</v>
      </c>
      <c r="H11" s="16" t="s">
        <v>15</v>
      </c>
      <c r="I11" s="17" t="s">
        <v>16</v>
      </c>
      <c r="J11" s="16">
        <v>42.48</v>
      </c>
    </row>
    <row r="12" spans="1:10" x14ac:dyDescent="0.35">
      <c r="A12" s="13">
        <v>10132</v>
      </c>
      <c r="B12" s="12">
        <v>45423</v>
      </c>
      <c r="C12" s="13" t="s">
        <v>25</v>
      </c>
      <c r="D12" s="13" t="s">
        <v>151</v>
      </c>
      <c r="E12" s="13">
        <v>4</v>
      </c>
      <c r="F12" s="13">
        <v>39.950000000000003</v>
      </c>
      <c r="G12" s="13">
        <v>159.80000000000001</v>
      </c>
      <c r="H12" s="13" t="s">
        <v>19</v>
      </c>
      <c r="I12" s="14" t="s">
        <v>12</v>
      </c>
      <c r="J12" s="13">
        <v>188.56400000000002</v>
      </c>
    </row>
    <row r="13" spans="1:10" x14ac:dyDescent="0.35">
      <c r="A13" s="16">
        <v>10133</v>
      </c>
      <c r="B13" s="15">
        <v>45424</v>
      </c>
      <c r="C13" s="16" t="s">
        <v>9</v>
      </c>
      <c r="D13" s="16" t="s">
        <v>152</v>
      </c>
      <c r="E13" s="16">
        <v>1</v>
      </c>
      <c r="F13" s="16">
        <v>1299.99</v>
      </c>
      <c r="G13" s="16">
        <v>1299.99</v>
      </c>
      <c r="H13" s="16" t="s">
        <v>11</v>
      </c>
      <c r="I13" s="17" t="s">
        <v>12</v>
      </c>
      <c r="J13" s="16">
        <v>1533.9882</v>
      </c>
    </row>
    <row r="14" spans="1:10" x14ac:dyDescent="0.35">
      <c r="A14" s="13">
        <v>10134</v>
      </c>
      <c r="B14" s="12">
        <v>45425</v>
      </c>
      <c r="C14" s="13" t="s">
        <v>13</v>
      </c>
      <c r="D14" s="13" t="s">
        <v>153</v>
      </c>
      <c r="E14" s="13">
        <v>2</v>
      </c>
      <c r="F14" s="13">
        <v>79.989999999999995</v>
      </c>
      <c r="G14" s="13">
        <v>159.97999999999999</v>
      </c>
      <c r="H14" s="13" t="s">
        <v>15</v>
      </c>
      <c r="I14" s="14" t="s">
        <v>16</v>
      </c>
      <c r="J14" s="13">
        <v>188.7764</v>
      </c>
    </row>
    <row r="15" spans="1:10" x14ac:dyDescent="0.35">
      <c r="A15" s="16">
        <v>10135</v>
      </c>
      <c r="B15" s="15">
        <v>45426</v>
      </c>
      <c r="C15" s="16" t="s">
        <v>17</v>
      </c>
      <c r="D15" s="16" t="s">
        <v>154</v>
      </c>
      <c r="E15" s="16">
        <v>4</v>
      </c>
      <c r="F15" s="16">
        <v>34.99</v>
      </c>
      <c r="G15" s="16">
        <v>139.96</v>
      </c>
      <c r="H15" s="16" t="s">
        <v>19</v>
      </c>
      <c r="I15" s="17" t="s">
        <v>20</v>
      </c>
      <c r="J15" s="16">
        <v>165.15280000000001</v>
      </c>
    </row>
    <row r="16" spans="1:10" x14ac:dyDescent="0.35">
      <c r="A16" s="13">
        <v>10136</v>
      </c>
      <c r="B16" s="12">
        <v>45427</v>
      </c>
      <c r="C16" s="13" t="s">
        <v>21</v>
      </c>
      <c r="D16" s="13" t="s">
        <v>155</v>
      </c>
      <c r="E16" s="13">
        <v>3</v>
      </c>
      <c r="F16" s="13">
        <v>9.99</v>
      </c>
      <c r="G16" s="13">
        <v>29.97</v>
      </c>
      <c r="H16" s="13" t="s">
        <v>11</v>
      </c>
      <c r="I16" s="14" t="s">
        <v>12</v>
      </c>
      <c r="J16" s="13">
        <v>35.364599999999996</v>
      </c>
    </row>
    <row r="17" spans="1:10" x14ac:dyDescent="0.35">
      <c r="A17" s="16">
        <v>10137</v>
      </c>
      <c r="B17" s="15">
        <v>45428</v>
      </c>
      <c r="C17" s="16" t="s">
        <v>23</v>
      </c>
      <c r="D17" s="16" t="s">
        <v>156</v>
      </c>
      <c r="E17" s="16">
        <v>1</v>
      </c>
      <c r="F17" s="16">
        <v>6.8</v>
      </c>
      <c r="G17" s="16">
        <v>6.8</v>
      </c>
      <c r="H17" s="16" t="s">
        <v>15</v>
      </c>
      <c r="I17" s="17" t="s">
        <v>16</v>
      </c>
      <c r="J17" s="16">
        <v>8.0239999999999991</v>
      </c>
    </row>
    <row r="18" spans="1:10" x14ac:dyDescent="0.35">
      <c r="A18" s="13">
        <v>10138</v>
      </c>
      <c r="B18" s="12">
        <v>45429</v>
      </c>
      <c r="C18" s="13" t="s">
        <v>25</v>
      </c>
      <c r="D18" s="13" t="s">
        <v>157</v>
      </c>
      <c r="E18" s="13">
        <v>2</v>
      </c>
      <c r="F18" s="13">
        <v>99.95</v>
      </c>
      <c r="G18" s="13">
        <v>199.9</v>
      </c>
      <c r="H18" s="13" t="s">
        <v>19</v>
      </c>
      <c r="I18" s="14" t="s">
        <v>12</v>
      </c>
      <c r="J18" s="13">
        <v>235.88200000000001</v>
      </c>
    </row>
    <row r="19" spans="1:10" x14ac:dyDescent="0.35">
      <c r="A19" s="16">
        <v>10139</v>
      </c>
      <c r="B19" s="15">
        <v>45430</v>
      </c>
      <c r="C19" s="16" t="s">
        <v>9</v>
      </c>
      <c r="D19" s="16" t="s">
        <v>158</v>
      </c>
      <c r="E19" s="16">
        <v>1</v>
      </c>
      <c r="F19" s="16">
        <v>1499.99</v>
      </c>
      <c r="G19" s="16">
        <v>1499.99</v>
      </c>
      <c r="H19" s="16" t="s">
        <v>11</v>
      </c>
      <c r="I19" s="17" t="s">
        <v>12</v>
      </c>
      <c r="J19" s="16">
        <v>1769.9882</v>
      </c>
    </row>
    <row r="20" spans="1:10" x14ac:dyDescent="0.35">
      <c r="A20" s="13">
        <v>10140</v>
      </c>
      <c r="B20" s="12">
        <v>45431</v>
      </c>
      <c r="C20" s="13" t="s">
        <v>13</v>
      </c>
      <c r="D20" s="13" t="s">
        <v>159</v>
      </c>
      <c r="E20" s="13">
        <v>1</v>
      </c>
      <c r="F20" s="13">
        <v>139.99</v>
      </c>
      <c r="G20" s="13">
        <v>139.99</v>
      </c>
      <c r="H20" s="13" t="s">
        <v>15</v>
      </c>
      <c r="I20" s="14" t="s">
        <v>16</v>
      </c>
      <c r="J20" s="13">
        <v>165.18819999999999</v>
      </c>
    </row>
    <row r="21" spans="1:10" x14ac:dyDescent="0.35">
      <c r="A21" s="16">
        <v>10141</v>
      </c>
      <c r="B21" s="15">
        <v>45432</v>
      </c>
      <c r="C21" s="16" t="s">
        <v>17</v>
      </c>
      <c r="D21" s="16" t="s">
        <v>160</v>
      </c>
      <c r="E21" s="16">
        <v>3</v>
      </c>
      <c r="F21" s="16">
        <v>44.99</v>
      </c>
      <c r="G21" s="16">
        <v>134.97</v>
      </c>
      <c r="H21" s="16" t="s">
        <v>19</v>
      </c>
      <c r="I21" s="17" t="s">
        <v>20</v>
      </c>
      <c r="J21" s="16">
        <v>159.2646</v>
      </c>
    </row>
    <row r="22" spans="1:10" x14ac:dyDescent="0.35">
      <c r="A22" s="13">
        <v>10142</v>
      </c>
      <c r="B22" s="12">
        <v>45433</v>
      </c>
      <c r="C22" s="13" t="s">
        <v>21</v>
      </c>
      <c r="D22" s="13" t="s">
        <v>161</v>
      </c>
      <c r="E22" s="13">
        <v>2</v>
      </c>
      <c r="F22" s="13">
        <v>11.99</v>
      </c>
      <c r="G22" s="13">
        <v>23.98</v>
      </c>
      <c r="H22" s="13" t="s">
        <v>11</v>
      </c>
      <c r="I22" s="14" t="s">
        <v>12</v>
      </c>
      <c r="J22" s="13">
        <v>28.296399999999998</v>
      </c>
    </row>
    <row r="23" spans="1:10" x14ac:dyDescent="0.35">
      <c r="A23" s="16">
        <v>10143</v>
      </c>
      <c r="B23" s="15">
        <v>45434</v>
      </c>
      <c r="C23" s="16" t="s">
        <v>23</v>
      </c>
      <c r="D23" s="16" t="s">
        <v>162</v>
      </c>
      <c r="E23" s="16">
        <v>1</v>
      </c>
      <c r="F23" s="16">
        <v>29.5</v>
      </c>
      <c r="G23" s="16">
        <v>29.5</v>
      </c>
      <c r="H23" s="16" t="s">
        <v>15</v>
      </c>
      <c r="I23" s="17" t="s">
        <v>16</v>
      </c>
      <c r="J23" s="16">
        <v>34.81</v>
      </c>
    </row>
    <row r="24" spans="1:10" x14ac:dyDescent="0.35">
      <c r="A24" s="13">
        <v>10144</v>
      </c>
      <c r="B24" s="12">
        <v>45435</v>
      </c>
      <c r="C24" s="13" t="s">
        <v>25</v>
      </c>
      <c r="D24" s="13" t="s">
        <v>163</v>
      </c>
      <c r="E24" s="13">
        <v>1</v>
      </c>
      <c r="F24" s="13">
        <v>299.99</v>
      </c>
      <c r="G24" s="13">
        <v>299.99</v>
      </c>
      <c r="H24" s="13" t="s">
        <v>19</v>
      </c>
      <c r="I24" s="14" t="s">
        <v>12</v>
      </c>
      <c r="J24" s="13">
        <v>353.98820000000001</v>
      </c>
    </row>
    <row r="25" spans="1:10" x14ac:dyDescent="0.35">
      <c r="A25" s="16">
        <v>10145</v>
      </c>
      <c r="B25" s="15">
        <v>45436</v>
      </c>
      <c r="C25" s="16" t="s">
        <v>9</v>
      </c>
      <c r="D25" s="16" t="s">
        <v>164</v>
      </c>
      <c r="E25" s="16">
        <v>1</v>
      </c>
      <c r="F25" s="16">
        <v>549</v>
      </c>
      <c r="G25" s="16">
        <v>549</v>
      </c>
      <c r="H25" s="16" t="s">
        <v>11</v>
      </c>
      <c r="I25" s="17" t="s">
        <v>12</v>
      </c>
      <c r="J25" s="16">
        <v>647.81999999999994</v>
      </c>
    </row>
    <row r="26" spans="1:10" x14ac:dyDescent="0.35">
      <c r="A26" s="13">
        <v>10146</v>
      </c>
      <c r="B26" s="12">
        <v>45437</v>
      </c>
      <c r="C26" s="13" t="s">
        <v>13</v>
      </c>
      <c r="D26" s="13" t="s">
        <v>165</v>
      </c>
      <c r="E26" s="13">
        <v>2</v>
      </c>
      <c r="F26" s="13">
        <v>199.95</v>
      </c>
      <c r="G26" s="13">
        <v>399.9</v>
      </c>
      <c r="H26" s="13" t="s">
        <v>15</v>
      </c>
      <c r="I26" s="14" t="s">
        <v>16</v>
      </c>
      <c r="J26" s="13">
        <v>471.88199999999995</v>
      </c>
    </row>
    <row r="27" spans="1:10" x14ac:dyDescent="0.35">
      <c r="A27" s="16">
        <v>10147</v>
      </c>
      <c r="B27" s="15">
        <v>45438</v>
      </c>
      <c r="C27" s="16" t="s">
        <v>17</v>
      </c>
      <c r="D27" s="16" t="s">
        <v>166</v>
      </c>
      <c r="E27" s="16">
        <v>2</v>
      </c>
      <c r="F27" s="16">
        <v>98</v>
      </c>
      <c r="G27" s="16">
        <v>196</v>
      </c>
      <c r="H27" s="16" t="s">
        <v>19</v>
      </c>
      <c r="I27" s="17" t="s">
        <v>20</v>
      </c>
      <c r="J27" s="16">
        <v>231.28</v>
      </c>
    </row>
    <row r="28" spans="1:10" x14ac:dyDescent="0.35">
      <c r="A28" s="13">
        <v>10148</v>
      </c>
      <c r="B28" s="12">
        <v>45439</v>
      </c>
      <c r="C28" s="13" t="s">
        <v>21</v>
      </c>
      <c r="D28" s="13" t="s">
        <v>167</v>
      </c>
      <c r="E28" s="13">
        <v>3</v>
      </c>
      <c r="F28" s="13">
        <v>10.99</v>
      </c>
      <c r="G28" s="13">
        <v>32.97</v>
      </c>
      <c r="H28" s="13" t="s">
        <v>11</v>
      </c>
      <c r="I28" s="14" t="s">
        <v>12</v>
      </c>
      <c r="J28" s="13">
        <v>38.904600000000002</v>
      </c>
    </row>
    <row r="29" spans="1:10" x14ac:dyDescent="0.35">
      <c r="A29" s="16">
        <v>10149</v>
      </c>
      <c r="B29" s="15">
        <v>45440</v>
      </c>
      <c r="C29" s="16" t="s">
        <v>23</v>
      </c>
      <c r="D29" s="16" t="s">
        <v>168</v>
      </c>
      <c r="E29" s="16">
        <v>1</v>
      </c>
      <c r="F29" s="16">
        <v>25</v>
      </c>
      <c r="G29" s="16">
        <v>25</v>
      </c>
      <c r="H29" s="16" t="s">
        <v>15</v>
      </c>
      <c r="I29" s="17" t="s">
        <v>16</v>
      </c>
      <c r="J29" s="16">
        <v>29.5</v>
      </c>
    </row>
    <row r="30" spans="1:10" x14ac:dyDescent="0.35">
      <c r="A30" s="13">
        <v>10150</v>
      </c>
      <c r="B30" s="12">
        <v>45441</v>
      </c>
      <c r="C30" s="13" t="s">
        <v>25</v>
      </c>
      <c r="D30" s="13" t="s">
        <v>169</v>
      </c>
      <c r="E30" s="13">
        <v>2</v>
      </c>
      <c r="F30" s="13">
        <v>149.99</v>
      </c>
      <c r="G30" s="13">
        <v>299.98</v>
      </c>
      <c r="H30" s="13" t="s">
        <v>19</v>
      </c>
      <c r="I30" s="14" t="s">
        <v>12</v>
      </c>
      <c r="J30" s="13">
        <v>353.97640000000001</v>
      </c>
    </row>
    <row r="31" spans="1:10" x14ac:dyDescent="0.35">
      <c r="A31" s="16">
        <v>10151</v>
      </c>
      <c r="B31" s="15">
        <v>45442</v>
      </c>
      <c r="C31" s="16" t="s">
        <v>9</v>
      </c>
      <c r="D31" s="16" t="s">
        <v>51</v>
      </c>
      <c r="E31" s="16">
        <v>1</v>
      </c>
      <c r="F31" s="16">
        <v>349.99</v>
      </c>
      <c r="G31" s="16">
        <v>349.99</v>
      </c>
      <c r="H31" s="16" t="s">
        <v>11</v>
      </c>
      <c r="I31" s="17" t="s">
        <v>12</v>
      </c>
      <c r="J31" s="16">
        <v>412.98820000000001</v>
      </c>
    </row>
    <row r="32" spans="1:10" x14ac:dyDescent="0.35">
      <c r="A32" s="13">
        <v>10152</v>
      </c>
      <c r="B32" s="12">
        <v>45443</v>
      </c>
      <c r="C32" s="13" t="s">
        <v>13</v>
      </c>
      <c r="D32" s="13" t="s">
        <v>170</v>
      </c>
      <c r="E32" s="13">
        <v>2</v>
      </c>
      <c r="F32" s="13">
        <v>199.99</v>
      </c>
      <c r="G32" s="13">
        <v>399.98</v>
      </c>
      <c r="H32" s="13" t="s">
        <v>15</v>
      </c>
      <c r="I32" s="14" t="s">
        <v>16</v>
      </c>
      <c r="J32" s="13">
        <v>471.97640000000001</v>
      </c>
    </row>
    <row r="33" spans="1:10" x14ac:dyDescent="0.35">
      <c r="A33" s="16">
        <v>10153</v>
      </c>
      <c r="B33" s="15">
        <v>45444</v>
      </c>
      <c r="C33" s="16" t="s">
        <v>17</v>
      </c>
      <c r="D33" s="16" t="s">
        <v>171</v>
      </c>
      <c r="E33" s="16">
        <v>3</v>
      </c>
      <c r="F33" s="16">
        <v>54.99</v>
      </c>
      <c r="G33" s="16">
        <v>164.97</v>
      </c>
      <c r="H33" s="16" t="s">
        <v>19</v>
      </c>
      <c r="I33" s="17" t="s">
        <v>20</v>
      </c>
      <c r="J33" s="16">
        <v>194.66460000000001</v>
      </c>
    </row>
    <row r="34" spans="1:10" x14ac:dyDescent="0.35">
      <c r="A34" s="13">
        <v>10154</v>
      </c>
      <c r="B34" s="12">
        <v>45445</v>
      </c>
      <c r="C34" s="13" t="s">
        <v>21</v>
      </c>
      <c r="D34" s="13" t="s">
        <v>172</v>
      </c>
      <c r="E34" s="13">
        <v>2</v>
      </c>
      <c r="F34" s="13">
        <v>16.989999999999998</v>
      </c>
      <c r="G34" s="13">
        <v>33.979999999999997</v>
      </c>
      <c r="H34" s="13" t="s">
        <v>11</v>
      </c>
      <c r="I34" s="14" t="s">
        <v>12</v>
      </c>
      <c r="J34" s="13">
        <v>40.096399999999996</v>
      </c>
    </row>
    <row r="35" spans="1:10" x14ac:dyDescent="0.35">
      <c r="A35" s="16">
        <v>10155</v>
      </c>
      <c r="B35" s="15">
        <v>45446</v>
      </c>
      <c r="C35" s="16" t="s">
        <v>23</v>
      </c>
      <c r="D35" s="16" t="s">
        <v>173</v>
      </c>
      <c r="E35" s="16">
        <v>1</v>
      </c>
      <c r="F35" s="16">
        <v>59</v>
      </c>
      <c r="G35" s="16">
        <v>59</v>
      </c>
      <c r="H35" s="16" t="s">
        <v>15</v>
      </c>
      <c r="I35" s="17" t="s">
        <v>16</v>
      </c>
      <c r="J35" s="16">
        <v>69.62</v>
      </c>
    </row>
    <row r="36" spans="1:10" x14ac:dyDescent="0.35">
      <c r="A36" s="13">
        <v>10156</v>
      </c>
      <c r="B36" s="12">
        <v>45447</v>
      </c>
      <c r="C36" s="13" t="s">
        <v>25</v>
      </c>
      <c r="D36" s="13" t="s">
        <v>174</v>
      </c>
      <c r="E36" s="13">
        <v>1</v>
      </c>
      <c r="F36" s="13">
        <v>299.99</v>
      </c>
      <c r="G36" s="13">
        <v>299.99</v>
      </c>
      <c r="H36" s="13" t="s">
        <v>19</v>
      </c>
      <c r="I36" s="14" t="s">
        <v>12</v>
      </c>
      <c r="J36" s="13">
        <v>353.98820000000001</v>
      </c>
    </row>
    <row r="37" spans="1:10" x14ac:dyDescent="0.35">
      <c r="A37" s="16">
        <v>10157</v>
      </c>
      <c r="B37" s="15">
        <v>45448</v>
      </c>
      <c r="C37" s="16" t="s">
        <v>9</v>
      </c>
      <c r="D37" s="16" t="s">
        <v>175</v>
      </c>
      <c r="E37" s="16">
        <v>1</v>
      </c>
      <c r="F37" s="16">
        <v>899.99</v>
      </c>
      <c r="G37" s="16">
        <v>899.99</v>
      </c>
      <c r="H37" s="16" t="s">
        <v>11</v>
      </c>
      <c r="I37" s="17" t="s">
        <v>12</v>
      </c>
      <c r="J37" s="16">
        <v>1061.9882</v>
      </c>
    </row>
    <row r="38" spans="1:10" x14ac:dyDescent="0.35">
      <c r="A38" s="13">
        <v>10158</v>
      </c>
      <c r="B38" s="12">
        <v>45449</v>
      </c>
      <c r="C38" s="13" t="s">
        <v>13</v>
      </c>
      <c r="D38" s="13" t="s">
        <v>176</v>
      </c>
      <c r="E38" s="13">
        <v>1</v>
      </c>
      <c r="F38" s="13">
        <v>499.95</v>
      </c>
      <c r="G38" s="13">
        <v>499.95</v>
      </c>
      <c r="H38" s="13" t="s">
        <v>15</v>
      </c>
      <c r="I38" s="14" t="s">
        <v>16</v>
      </c>
      <c r="J38" s="13">
        <v>589.94100000000003</v>
      </c>
    </row>
    <row r="39" spans="1:10" x14ac:dyDescent="0.35">
      <c r="A39" s="16">
        <v>10159</v>
      </c>
      <c r="B39" s="15">
        <v>45450</v>
      </c>
      <c r="C39" s="16" t="s">
        <v>17</v>
      </c>
      <c r="D39" s="16" t="s">
        <v>177</v>
      </c>
      <c r="E39" s="16">
        <v>4</v>
      </c>
      <c r="F39" s="16">
        <v>24.99</v>
      </c>
      <c r="G39" s="16">
        <v>99.96</v>
      </c>
      <c r="H39" s="16" t="s">
        <v>19</v>
      </c>
      <c r="I39" s="17" t="s">
        <v>20</v>
      </c>
      <c r="J39" s="16">
        <v>117.9528</v>
      </c>
    </row>
    <row r="40" spans="1:10" x14ac:dyDescent="0.35">
      <c r="A40" s="13">
        <v>10160</v>
      </c>
      <c r="B40" s="12">
        <v>45451</v>
      </c>
      <c r="C40" s="13" t="s">
        <v>21</v>
      </c>
      <c r="D40" s="13" t="s">
        <v>178</v>
      </c>
      <c r="E40" s="13">
        <v>3</v>
      </c>
      <c r="F40" s="13">
        <v>7.99</v>
      </c>
      <c r="G40" s="13">
        <v>23.97</v>
      </c>
      <c r="H40" s="13" t="s">
        <v>11</v>
      </c>
      <c r="I40" s="14" t="s">
        <v>12</v>
      </c>
      <c r="J40" s="13">
        <v>28.284599999999998</v>
      </c>
    </row>
    <row r="41" spans="1:10" x14ac:dyDescent="0.35">
      <c r="A41" s="16">
        <v>10161</v>
      </c>
      <c r="B41" s="15">
        <v>45452</v>
      </c>
      <c r="C41" s="16" t="s">
        <v>23</v>
      </c>
      <c r="D41" s="16" t="s">
        <v>179</v>
      </c>
      <c r="E41" s="16">
        <v>1</v>
      </c>
      <c r="F41" s="16">
        <v>36</v>
      </c>
      <c r="G41" s="16">
        <v>36</v>
      </c>
      <c r="H41" s="16" t="s">
        <v>15</v>
      </c>
      <c r="I41" s="17" t="s">
        <v>16</v>
      </c>
      <c r="J41" s="16">
        <v>42.48</v>
      </c>
    </row>
    <row r="42" spans="1:10" x14ac:dyDescent="0.35">
      <c r="A42" s="13">
        <v>10162</v>
      </c>
      <c r="B42" s="12">
        <v>45453</v>
      </c>
      <c r="C42" s="13" t="s">
        <v>25</v>
      </c>
      <c r="D42" s="13" t="s">
        <v>180</v>
      </c>
      <c r="E42" s="13">
        <v>2</v>
      </c>
      <c r="F42" s="13">
        <v>34.99</v>
      </c>
      <c r="G42" s="13">
        <v>69.98</v>
      </c>
      <c r="H42" s="13" t="s">
        <v>19</v>
      </c>
      <c r="I42" s="14" t="s">
        <v>12</v>
      </c>
      <c r="J42" s="13">
        <v>82.576400000000007</v>
      </c>
    </row>
    <row r="43" spans="1:10" x14ac:dyDescent="0.35">
      <c r="A43" s="16">
        <v>10163</v>
      </c>
      <c r="B43" s="15">
        <v>45454</v>
      </c>
      <c r="C43" s="16" t="s">
        <v>9</v>
      </c>
      <c r="D43" s="16" t="s">
        <v>181</v>
      </c>
      <c r="E43" s="16">
        <v>1</v>
      </c>
      <c r="F43" s="16">
        <v>1199.99</v>
      </c>
      <c r="G43" s="16">
        <v>1199.99</v>
      </c>
      <c r="H43" s="16" t="s">
        <v>11</v>
      </c>
      <c r="I43" s="17" t="s">
        <v>12</v>
      </c>
      <c r="J43" s="16">
        <v>1415.9882</v>
      </c>
    </row>
    <row r="44" spans="1:10" x14ac:dyDescent="0.35">
      <c r="A44" s="13">
        <v>10164</v>
      </c>
      <c r="B44" s="12">
        <v>45455</v>
      </c>
      <c r="C44" s="13" t="s">
        <v>13</v>
      </c>
      <c r="D44" s="13" t="s">
        <v>182</v>
      </c>
      <c r="E44" s="13">
        <v>1</v>
      </c>
      <c r="F44" s="13">
        <v>199.99</v>
      </c>
      <c r="G44" s="13">
        <v>199.99</v>
      </c>
      <c r="H44" s="13" t="s">
        <v>15</v>
      </c>
      <c r="I44" s="14" t="s">
        <v>16</v>
      </c>
      <c r="J44" s="13">
        <v>235.98820000000001</v>
      </c>
    </row>
    <row r="45" spans="1:10" x14ac:dyDescent="0.35">
      <c r="A45" s="16">
        <v>10165</v>
      </c>
      <c r="B45" s="15">
        <v>45456</v>
      </c>
      <c r="C45" s="16" t="s">
        <v>17</v>
      </c>
      <c r="D45" s="16" t="s">
        <v>183</v>
      </c>
      <c r="E45" s="16">
        <v>5</v>
      </c>
      <c r="F45" s="16">
        <v>29.99</v>
      </c>
      <c r="G45" s="16">
        <v>149.94999999999999</v>
      </c>
      <c r="H45" s="16" t="s">
        <v>19</v>
      </c>
      <c r="I45" s="17" t="s">
        <v>20</v>
      </c>
      <c r="J45" s="16">
        <v>176.94099999999997</v>
      </c>
    </row>
    <row r="46" spans="1:10" x14ac:dyDescent="0.35">
      <c r="A46" s="13">
        <v>10166</v>
      </c>
      <c r="B46" s="12">
        <v>45457</v>
      </c>
      <c r="C46" s="13" t="s">
        <v>21</v>
      </c>
      <c r="D46" s="13" t="s">
        <v>184</v>
      </c>
      <c r="E46" s="13">
        <v>4</v>
      </c>
      <c r="F46" s="13">
        <v>8.99</v>
      </c>
      <c r="G46" s="13">
        <v>35.96</v>
      </c>
      <c r="H46" s="13" t="s">
        <v>11</v>
      </c>
      <c r="I46" s="14" t="s">
        <v>12</v>
      </c>
      <c r="J46" s="13">
        <v>42.4328</v>
      </c>
    </row>
    <row r="47" spans="1:10" x14ac:dyDescent="0.35">
      <c r="A47" s="16">
        <v>10167</v>
      </c>
      <c r="B47" s="15">
        <v>45458</v>
      </c>
      <c r="C47" s="16" t="s">
        <v>23</v>
      </c>
      <c r="D47" s="16" t="s">
        <v>185</v>
      </c>
      <c r="E47" s="16">
        <v>1</v>
      </c>
      <c r="F47" s="16">
        <v>16.989999999999998</v>
      </c>
      <c r="G47" s="16">
        <v>16.989999999999998</v>
      </c>
      <c r="H47" s="16" t="s">
        <v>15</v>
      </c>
      <c r="I47" s="17" t="s">
        <v>16</v>
      </c>
      <c r="J47" s="16">
        <v>20.048199999999998</v>
      </c>
    </row>
    <row r="48" spans="1:10" x14ac:dyDescent="0.35">
      <c r="A48" s="13">
        <v>10168</v>
      </c>
      <c r="B48" s="12">
        <v>45459</v>
      </c>
      <c r="C48" s="13" t="s">
        <v>25</v>
      </c>
      <c r="D48" s="13" t="s">
        <v>186</v>
      </c>
      <c r="E48" s="13">
        <v>3</v>
      </c>
      <c r="F48" s="13">
        <v>49.99</v>
      </c>
      <c r="G48" s="13">
        <v>149.97</v>
      </c>
      <c r="H48" s="13" t="s">
        <v>19</v>
      </c>
      <c r="I48" s="14" t="s">
        <v>12</v>
      </c>
      <c r="J48" s="13">
        <v>176.96459999999999</v>
      </c>
    </row>
    <row r="49" spans="1:10" x14ac:dyDescent="0.35">
      <c r="A49" s="16">
        <v>10169</v>
      </c>
      <c r="B49" s="15">
        <v>45460</v>
      </c>
      <c r="C49" s="16" t="s">
        <v>9</v>
      </c>
      <c r="D49" s="16" t="s">
        <v>187</v>
      </c>
      <c r="E49" s="16">
        <v>1</v>
      </c>
      <c r="F49" s="16">
        <v>699.99</v>
      </c>
      <c r="G49" s="16">
        <v>699.99</v>
      </c>
      <c r="H49" s="16" t="s">
        <v>11</v>
      </c>
      <c r="I49" s="17" t="s">
        <v>12</v>
      </c>
      <c r="J49" s="16">
        <v>825.98820000000001</v>
      </c>
    </row>
    <row r="50" spans="1:10" x14ac:dyDescent="0.35">
      <c r="A50" s="13">
        <v>10170</v>
      </c>
      <c r="B50" s="12">
        <v>45461</v>
      </c>
      <c r="C50" s="13" t="s">
        <v>13</v>
      </c>
      <c r="D50" s="13" t="s">
        <v>188</v>
      </c>
      <c r="E50" s="13">
        <v>2</v>
      </c>
      <c r="F50" s="13">
        <v>139.99</v>
      </c>
      <c r="G50" s="13">
        <v>279.98</v>
      </c>
      <c r="H50" s="13" t="s">
        <v>15</v>
      </c>
      <c r="I50" s="14" t="s">
        <v>16</v>
      </c>
      <c r="J50" s="13">
        <v>330.37639999999999</v>
      </c>
    </row>
    <row r="51" spans="1:10" x14ac:dyDescent="0.35">
      <c r="A51" s="16">
        <v>10171</v>
      </c>
      <c r="B51" s="15">
        <v>45462</v>
      </c>
      <c r="C51" s="16" t="s">
        <v>17</v>
      </c>
      <c r="D51" s="16" t="s">
        <v>189</v>
      </c>
      <c r="E51" s="16">
        <v>3</v>
      </c>
      <c r="F51" s="16">
        <v>34.99</v>
      </c>
      <c r="G51" s="16">
        <v>104.97</v>
      </c>
      <c r="H51" s="16" t="s">
        <v>19</v>
      </c>
      <c r="I51" s="17" t="s">
        <v>20</v>
      </c>
      <c r="J51" s="16">
        <v>123.8646</v>
      </c>
    </row>
    <row r="52" spans="1:10" x14ac:dyDescent="0.35">
      <c r="A52" s="13">
        <v>10172</v>
      </c>
      <c r="B52" s="12">
        <v>45463</v>
      </c>
      <c r="C52" s="13" t="s">
        <v>21</v>
      </c>
      <c r="D52" s="13" t="s">
        <v>190</v>
      </c>
      <c r="E52" s="13">
        <v>2</v>
      </c>
      <c r="F52" s="13">
        <v>9.99</v>
      </c>
      <c r="G52" s="13">
        <v>19.98</v>
      </c>
      <c r="H52" s="13" t="s">
        <v>11</v>
      </c>
      <c r="I52" s="14" t="s">
        <v>12</v>
      </c>
      <c r="J52" s="13">
        <v>23.5764</v>
      </c>
    </row>
    <row r="53" spans="1:10" x14ac:dyDescent="0.35">
      <c r="A53" s="16">
        <v>10173</v>
      </c>
      <c r="B53" s="15">
        <v>45464</v>
      </c>
      <c r="C53" s="16" t="s">
        <v>23</v>
      </c>
      <c r="D53" s="16" t="s">
        <v>191</v>
      </c>
      <c r="E53" s="16">
        <v>1</v>
      </c>
      <c r="F53" s="16">
        <v>29.5</v>
      </c>
      <c r="G53" s="16">
        <v>29.5</v>
      </c>
      <c r="H53" s="16" t="s">
        <v>15</v>
      </c>
      <c r="I53" s="17" t="s">
        <v>16</v>
      </c>
      <c r="J53" s="16">
        <v>34.81</v>
      </c>
    </row>
    <row r="54" spans="1:10" x14ac:dyDescent="0.35">
      <c r="A54" s="13">
        <v>10174</v>
      </c>
      <c r="B54" s="12">
        <v>45465</v>
      </c>
      <c r="C54" s="13" t="s">
        <v>25</v>
      </c>
      <c r="D54" s="13" t="s">
        <v>192</v>
      </c>
      <c r="E54" s="13">
        <v>1</v>
      </c>
      <c r="F54" s="13">
        <v>699.99</v>
      </c>
      <c r="G54" s="13">
        <v>699.99</v>
      </c>
      <c r="H54" s="13" t="s">
        <v>19</v>
      </c>
      <c r="I54" s="14" t="s">
        <v>12</v>
      </c>
      <c r="J54" s="13">
        <v>825.98820000000001</v>
      </c>
    </row>
    <row r="55" spans="1:10" x14ac:dyDescent="0.35">
      <c r="A55" s="16">
        <v>10175</v>
      </c>
      <c r="B55" s="15">
        <v>45466</v>
      </c>
      <c r="C55" s="16" t="s">
        <v>9</v>
      </c>
      <c r="D55" s="16" t="s">
        <v>193</v>
      </c>
      <c r="E55" s="16">
        <v>3</v>
      </c>
      <c r="F55" s="16">
        <v>49.99</v>
      </c>
      <c r="G55" s="16">
        <v>149.97</v>
      </c>
      <c r="H55" s="16" t="s">
        <v>11</v>
      </c>
      <c r="I55" s="17" t="s">
        <v>12</v>
      </c>
      <c r="J55" s="16">
        <v>176.96459999999999</v>
      </c>
    </row>
    <row r="56" spans="1:10" x14ac:dyDescent="0.35">
      <c r="A56" s="13">
        <v>10176</v>
      </c>
      <c r="B56" s="12">
        <v>45467</v>
      </c>
      <c r="C56" s="13" t="s">
        <v>13</v>
      </c>
      <c r="D56" s="13" t="s">
        <v>194</v>
      </c>
      <c r="E56" s="13">
        <v>2</v>
      </c>
      <c r="F56" s="13">
        <v>49.99</v>
      </c>
      <c r="G56" s="13">
        <v>99.98</v>
      </c>
      <c r="H56" s="13" t="s">
        <v>15</v>
      </c>
      <c r="I56" s="14" t="s">
        <v>16</v>
      </c>
      <c r="J56" s="13">
        <v>117.97640000000001</v>
      </c>
    </row>
    <row r="57" spans="1:10" x14ac:dyDescent="0.35">
      <c r="A57" s="16">
        <v>10177</v>
      </c>
      <c r="B57" s="15">
        <v>45468</v>
      </c>
      <c r="C57" s="16" t="s">
        <v>17</v>
      </c>
      <c r="D57" s="16" t="s">
        <v>195</v>
      </c>
      <c r="E57" s="16">
        <v>4</v>
      </c>
      <c r="F57" s="16">
        <v>14.9</v>
      </c>
      <c r="G57" s="16">
        <v>59.6</v>
      </c>
      <c r="H57" s="16" t="s">
        <v>19</v>
      </c>
      <c r="I57" s="17" t="s">
        <v>20</v>
      </c>
      <c r="J57" s="16">
        <v>70.328000000000003</v>
      </c>
    </row>
    <row r="58" spans="1:10" x14ac:dyDescent="0.35">
      <c r="A58" s="13">
        <v>10178</v>
      </c>
      <c r="B58" s="12">
        <v>45469</v>
      </c>
      <c r="C58" s="13" t="s">
        <v>21</v>
      </c>
      <c r="D58" s="13" t="s">
        <v>196</v>
      </c>
      <c r="E58" s="13">
        <v>3</v>
      </c>
      <c r="F58" s="13">
        <v>11.99</v>
      </c>
      <c r="G58" s="13">
        <v>35.97</v>
      </c>
      <c r="H58" s="13" t="s">
        <v>11</v>
      </c>
      <c r="I58" s="14" t="s">
        <v>12</v>
      </c>
      <c r="J58" s="13">
        <v>42.444600000000001</v>
      </c>
    </row>
    <row r="59" spans="1:10" x14ac:dyDescent="0.35">
      <c r="A59" s="16">
        <v>10179</v>
      </c>
      <c r="B59" s="15">
        <v>45470</v>
      </c>
      <c r="C59" s="16" t="s">
        <v>23</v>
      </c>
      <c r="D59" s="16" t="s">
        <v>197</v>
      </c>
      <c r="E59" s="16">
        <v>2</v>
      </c>
      <c r="F59" s="16">
        <v>34</v>
      </c>
      <c r="G59" s="16">
        <v>68</v>
      </c>
      <c r="H59" s="16" t="s">
        <v>15</v>
      </c>
      <c r="I59" s="17" t="s">
        <v>16</v>
      </c>
      <c r="J59" s="16">
        <v>80.239999999999995</v>
      </c>
    </row>
    <row r="60" spans="1:10" x14ac:dyDescent="0.35">
      <c r="A60" s="13">
        <v>10180</v>
      </c>
      <c r="B60" s="12">
        <v>45471</v>
      </c>
      <c r="C60" s="13" t="s">
        <v>25</v>
      </c>
      <c r="D60" s="13" t="s">
        <v>198</v>
      </c>
      <c r="E60" s="13">
        <v>1</v>
      </c>
      <c r="F60" s="13">
        <v>146</v>
      </c>
      <c r="G60" s="13">
        <v>146</v>
      </c>
      <c r="H60" s="13" t="s">
        <v>19</v>
      </c>
      <c r="I60" s="14" t="s">
        <v>12</v>
      </c>
      <c r="J60" s="13">
        <v>172.28</v>
      </c>
    </row>
    <row r="61" spans="1:10" x14ac:dyDescent="0.35">
      <c r="A61" s="16">
        <v>10181</v>
      </c>
      <c r="B61" s="15">
        <v>45472</v>
      </c>
      <c r="C61" s="16" t="s">
        <v>9</v>
      </c>
      <c r="D61" s="16" t="s">
        <v>199</v>
      </c>
      <c r="E61" s="16">
        <v>1</v>
      </c>
      <c r="F61" s="16">
        <v>649.99</v>
      </c>
      <c r="G61" s="16">
        <v>649.99</v>
      </c>
      <c r="H61" s="16" t="s">
        <v>11</v>
      </c>
      <c r="I61" s="17" t="s">
        <v>12</v>
      </c>
      <c r="J61" s="16">
        <v>766.98820000000001</v>
      </c>
    </row>
    <row r="62" spans="1:10" x14ac:dyDescent="0.35">
      <c r="A62" s="13">
        <v>10182</v>
      </c>
      <c r="B62" s="12">
        <v>45473</v>
      </c>
      <c r="C62" s="13" t="s">
        <v>13</v>
      </c>
      <c r="D62" s="13" t="s">
        <v>200</v>
      </c>
      <c r="E62" s="13">
        <v>1</v>
      </c>
      <c r="F62" s="13">
        <v>399.99</v>
      </c>
      <c r="G62" s="13">
        <v>399.99</v>
      </c>
      <c r="H62" s="13" t="s">
        <v>15</v>
      </c>
      <c r="I62" s="14" t="s">
        <v>16</v>
      </c>
      <c r="J62" s="13">
        <v>471.98820000000001</v>
      </c>
    </row>
    <row r="63" spans="1:10" x14ac:dyDescent="0.35">
      <c r="A63" s="16">
        <v>10183</v>
      </c>
      <c r="B63" s="15">
        <v>45474</v>
      </c>
      <c r="C63" s="16" t="s">
        <v>17</v>
      </c>
      <c r="D63" s="16" t="s">
        <v>201</v>
      </c>
      <c r="E63" s="16">
        <v>3</v>
      </c>
      <c r="F63" s="16">
        <v>59.99</v>
      </c>
      <c r="G63" s="16">
        <v>179.97</v>
      </c>
      <c r="H63" s="16" t="s">
        <v>19</v>
      </c>
      <c r="I63" s="17" t="s">
        <v>20</v>
      </c>
      <c r="J63" s="16">
        <v>212.3646</v>
      </c>
    </row>
    <row r="64" spans="1:10" x14ac:dyDescent="0.35">
      <c r="A64" s="13">
        <v>10184</v>
      </c>
      <c r="B64" s="12">
        <v>45475</v>
      </c>
      <c r="C64" s="13" t="s">
        <v>21</v>
      </c>
      <c r="D64" s="13" t="s">
        <v>202</v>
      </c>
      <c r="E64" s="13">
        <v>2</v>
      </c>
      <c r="F64" s="13">
        <v>12.99</v>
      </c>
      <c r="G64" s="13">
        <v>25.98</v>
      </c>
      <c r="H64" s="13" t="s">
        <v>11</v>
      </c>
      <c r="I64" s="14" t="s">
        <v>12</v>
      </c>
      <c r="J64" s="13">
        <v>30.656400000000001</v>
      </c>
    </row>
    <row r="65" spans="1:10" x14ac:dyDescent="0.35">
      <c r="A65" s="16">
        <v>10185</v>
      </c>
      <c r="B65" s="15">
        <v>45476</v>
      </c>
      <c r="C65" s="16" t="s">
        <v>23</v>
      </c>
      <c r="D65" s="16" t="s">
        <v>203</v>
      </c>
      <c r="E65" s="16">
        <v>1</v>
      </c>
      <c r="F65" s="16">
        <v>190</v>
      </c>
      <c r="G65" s="16">
        <v>190</v>
      </c>
      <c r="H65" s="16" t="s">
        <v>15</v>
      </c>
      <c r="I65" s="17" t="s">
        <v>16</v>
      </c>
      <c r="J65" s="16">
        <v>224.2</v>
      </c>
    </row>
    <row r="66" spans="1:10" x14ac:dyDescent="0.35">
      <c r="A66" s="13">
        <v>10186</v>
      </c>
      <c r="B66" s="12">
        <v>45477</v>
      </c>
      <c r="C66" s="13" t="s">
        <v>25</v>
      </c>
      <c r="D66" s="13" t="s">
        <v>204</v>
      </c>
      <c r="E66" s="13">
        <v>1</v>
      </c>
      <c r="F66" s="13">
        <v>499.95</v>
      </c>
      <c r="G66" s="13">
        <v>499.95</v>
      </c>
      <c r="H66" s="13" t="s">
        <v>19</v>
      </c>
      <c r="I66" s="14" t="s">
        <v>12</v>
      </c>
      <c r="J66" s="13">
        <v>589.94100000000003</v>
      </c>
    </row>
    <row r="67" spans="1:10" x14ac:dyDescent="0.35">
      <c r="A67" s="16">
        <v>10187</v>
      </c>
      <c r="B67" s="15">
        <v>45478</v>
      </c>
      <c r="C67" s="16" t="s">
        <v>9</v>
      </c>
      <c r="D67" s="16" t="s">
        <v>205</v>
      </c>
      <c r="E67" s="16">
        <v>1</v>
      </c>
      <c r="F67" s="16">
        <v>399</v>
      </c>
      <c r="G67" s="16">
        <v>399</v>
      </c>
      <c r="H67" s="16" t="s">
        <v>11</v>
      </c>
      <c r="I67" s="17" t="s">
        <v>12</v>
      </c>
      <c r="J67" s="16">
        <v>470.82</v>
      </c>
    </row>
    <row r="68" spans="1:10" x14ac:dyDescent="0.35">
      <c r="A68" s="13">
        <v>10188</v>
      </c>
      <c r="B68" s="12">
        <v>45479</v>
      </c>
      <c r="C68" s="13" t="s">
        <v>13</v>
      </c>
      <c r="D68" s="13" t="s">
        <v>206</v>
      </c>
      <c r="E68" s="13">
        <v>2</v>
      </c>
      <c r="F68" s="13">
        <v>199</v>
      </c>
      <c r="G68" s="13">
        <v>398</v>
      </c>
      <c r="H68" s="13" t="s">
        <v>15</v>
      </c>
      <c r="I68" s="14" t="s">
        <v>16</v>
      </c>
      <c r="J68" s="13">
        <v>469.64</v>
      </c>
    </row>
    <row r="69" spans="1:10" x14ac:dyDescent="0.35">
      <c r="A69" s="16">
        <v>10189</v>
      </c>
      <c r="B69" s="15">
        <v>45480</v>
      </c>
      <c r="C69" s="16" t="s">
        <v>17</v>
      </c>
      <c r="D69" s="16" t="s">
        <v>207</v>
      </c>
      <c r="E69" s="16">
        <v>4</v>
      </c>
      <c r="F69" s="16">
        <v>34.99</v>
      </c>
      <c r="G69" s="16">
        <v>139.96</v>
      </c>
      <c r="H69" s="16" t="s">
        <v>19</v>
      </c>
      <c r="I69" s="17" t="s">
        <v>20</v>
      </c>
      <c r="J69" s="16">
        <v>165.15280000000001</v>
      </c>
    </row>
    <row r="70" spans="1:10" x14ac:dyDescent="0.35">
      <c r="A70" s="13">
        <v>10190</v>
      </c>
      <c r="B70" s="12">
        <v>45481</v>
      </c>
      <c r="C70" s="13" t="s">
        <v>21</v>
      </c>
      <c r="D70" s="13" t="s">
        <v>108</v>
      </c>
      <c r="E70" s="13">
        <v>3</v>
      </c>
      <c r="F70" s="13">
        <v>10.99</v>
      </c>
      <c r="G70" s="13">
        <v>32.97</v>
      </c>
      <c r="H70" s="13" t="s">
        <v>11</v>
      </c>
      <c r="I70" s="14" t="s">
        <v>12</v>
      </c>
      <c r="J70" s="13">
        <v>38.904600000000002</v>
      </c>
    </row>
    <row r="71" spans="1:10" x14ac:dyDescent="0.35">
      <c r="A71" s="16">
        <v>10191</v>
      </c>
      <c r="B71" s="15">
        <v>45482</v>
      </c>
      <c r="C71" s="16" t="s">
        <v>23</v>
      </c>
      <c r="D71" s="16" t="s">
        <v>208</v>
      </c>
      <c r="E71" s="16">
        <v>1</v>
      </c>
      <c r="F71" s="16">
        <v>18</v>
      </c>
      <c r="G71" s="16">
        <v>18</v>
      </c>
      <c r="H71" s="16" t="s">
        <v>15</v>
      </c>
      <c r="I71" s="17" t="s">
        <v>16</v>
      </c>
      <c r="J71" s="16">
        <v>21.24</v>
      </c>
    </row>
    <row r="72" spans="1:10" x14ac:dyDescent="0.35">
      <c r="A72" s="13">
        <v>10192</v>
      </c>
      <c r="B72" s="12">
        <v>45483</v>
      </c>
      <c r="C72" s="13" t="s">
        <v>25</v>
      </c>
      <c r="D72" s="13" t="s">
        <v>209</v>
      </c>
      <c r="E72" s="13">
        <v>1</v>
      </c>
      <c r="F72" s="13">
        <v>169.95</v>
      </c>
      <c r="G72" s="13">
        <v>169.95</v>
      </c>
      <c r="H72" s="13" t="s">
        <v>19</v>
      </c>
      <c r="I72" s="14" t="s">
        <v>12</v>
      </c>
      <c r="J72" s="13">
        <v>200.541</v>
      </c>
    </row>
    <row r="73" spans="1:10" x14ac:dyDescent="0.35">
      <c r="A73" s="16">
        <v>10193</v>
      </c>
      <c r="B73" s="15">
        <v>45484</v>
      </c>
      <c r="C73" s="16" t="s">
        <v>9</v>
      </c>
      <c r="D73" s="16" t="s">
        <v>210</v>
      </c>
      <c r="E73" s="16">
        <v>1</v>
      </c>
      <c r="F73" s="16">
        <v>199.99</v>
      </c>
      <c r="G73" s="16">
        <v>199.99</v>
      </c>
      <c r="H73" s="16" t="s">
        <v>11</v>
      </c>
      <c r="I73" s="17" t="s">
        <v>12</v>
      </c>
      <c r="J73" s="16">
        <v>235.98820000000001</v>
      </c>
    </row>
    <row r="74" spans="1:10" x14ac:dyDescent="0.35">
      <c r="A74" s="13">
        <v>10194</v>
      </c>
      <c r="B74" s="12">
        <v>45485</v>
      </c>
      <c r="C74" s="13" t="s">
        <v>13</v>
      </c>
      <c r="D74" s="13" t="s">
        <v>211</v>
      </c>
      <c r="E74" s="13">
        <v>1</v>
      </c>
      <c r="F74" s="13">
        <v>199.95</v>
      </c>
      <c r="G74" s="13">
        <v>199.95</v>
      </c>
      <c r="H74" s="13" t="s">
        <v>15</v>
      </c>
      <c r="I74" s="14" t="s">
        <v>16</v>
      </c>
      <c r="J74" s="13">
        <v>235.94099999999997</v>
      </c>
    </row>
    <row r="75" spans="1:10" x14ac:dyDescent="0.35">
      <c r="A75" s="16">
        <v>10195</v>
      </c>
      <c r="B75" s="15">
        <v>45486</v>
      </c>
      <c r="C75" s="16" t="s">
        <v>17</v>
      </c>
      <c r="D75" s="16" t="s">
        <v>212</v>
      </c>
      <c r="E75" s="16">
        <v>2</v>
      </c>
      <c r="F75" s="16">
        <v>179.99</v>
      </c>
      <c r="G75" s="16">
        <v>359.98</v>
      </c>
      <c r="H75" s="16" t="s">
        <v>19</v>
      </c>
      <c r="I75" s="17" t="s">
        <v>20</v>
      </c>
      <c r="J75" s="16">
        <v>424.77640000000002</v>
      </c>
    </row>
    <row r="76" spans="1:10" x14ac:dyDescent="0.35">
      <c r="A76" s="13">
        <v>10196</v>
      </c>
      <c r="B76" s="12">
        <v>45487</v>
      </c>
      <c r="C76" s="13" t="s">
        <v>21</v>
      </c>
      <c r="D76" s="13" t="s">
        <v>213</v>
      </c>
      <c r="E76" s="13">
        <v>2</v>
      </c>
      <c r="F76" s="13">
        <v>11.99</v>
      </c>
      <c r="G76" s="13">
        <v>23.98</v>
      </c>
      <c r="H76" s="13" t="s">
        <v>11</v>
      </c>
      <c r="I76" s="14" t="s">
        <v>12</v>
      </c>
      <c r="J76" s="13">
        <v>28.296399999999998</v>
      </c>
    </row>
    <row r="77" spans="1:10" x14ac:dyDescent="0.35">
      <c r="A77" s="16">
        <v>10197</v>
      </c>
      <c r="B77" s="15">
        <v>45488</v>
      </c>
      <c r="C77" s="16" t="s">
        <v>23</v>
      </c>
      <c r="D77" s="16" t="s">
        <v>214</v>
      </c>
      <c r="E77" s="16">
        <v>1</v>
      </c>
      <c r="F77" s="16">
        <v>125</v>
      </c>
      <c r="G77" s="16">
        <v>125</v>
      </c>
      <c r="H77" s="16" t="s">
        <v>15</v>
      </c>
      <c r="I77" s="17" t="s">
        <v>16</v>
      </c>
      <c r="J77" s="16">
        <v>147.5</v>
      </c>
    </row>
    <row r="78" spans="1:10" x14ac:dyDescent="0.35">
      <c r="A78" s="13">
        <v>10198</v>
      </c>
      <c r="B78" s="12">
        <v>45489</v>
      </c>
      <c r="C78" s="13" t="s">
        <v>25</v>
      </c>
      <c r="D78" s="13" t="s">
        <v>215</v>
      </c>
      <c r="E78" s="13">
        <v>1</v>
      </c>
      <c r="F78" s="13">
        <v>449.99</v>
      </c>
      <c r="G78" s="13">
        <v>449.99</v>
      </c>
      <c r="H78" s="13" t="s">
        <v>19</v>
      </c>
      <c r="I78" s="14" t="s">
        <v>12</v>
      </c>
      <c r="J78" s="13">
        <v>530.98820000000001</v>
      </c>
    </row>
    <row r="79" spans="1:10" x14ac:dyDescent="0.35">
      <c r="A79" s="16">
        <v>10199</v>
      </c>
      <c r="B79" s="15">
        <v>45490</v>
      </c>
      <c r="C79" s="16" t="s">
        <v>9</v>
      </c>
      <c r="D79" s="16" t="s">
        <v>216</v>
      </c>
      <c r="E79" s="16">
        <v>2</v>
      </c>
      <c r="F79" s="16">
        <v>179</v>
      </c>
      <c r="G79" s="16">
        <v>358</v>
      </c>
      <c r="H79" s="16" t="s">
        <v>11</v>
      </c>
      <c r="I79" s="17" t="s">
        <v>12</v>
      </c>
      <c r="J79" s="16">
        <v>422.44</v>
      </c>
    </row>
    <row r="80" spans="1:10" x14ac:dyDescent="0.35">
      <c r="A80" s="13">
        <v>10200</v>
      </c>
      <c r="B80" s="12">
        <v>45491</v>
      </c>
      <c r="C80" s="13" t="s">
        <v>13</v>
      </c>
      <c r="D80" s="13" t="s">
        <v>217</v>
      </c>
      <c r="E80" s="13">
        <v>1</v>
      </c>
      <c r="F80" s="13">
        <v>99.95</v>
      </c>
      <c r="G80" s="13">
        <v>99.95</v>
      </c>
      <c r="H80" s="13" t="s">
        <v>15</v>
      </c>
      <c r="I80" s="14" t="s">
        <v>16</v>
      </c>
      <c r="J80" s="13">
        <v>117.941</v>
      </c>
    </row>
    <row r="81" spans="1:10" x14ac:dyDescent="0.35">
      <c r="A81" s="16">
        <v>10201</v>
      </c>
      <c r="B81" s="15">
        <v>45492</v>
      </c>
      <c r="C81" s="16" t="s">
        <v>17</v>
      </c>
      <c r="D81" s="16" t="s">
        <v>218</v>
      </c>
      <c r="E81" s="16">
        <v>3</v>
      </c>
      <c r="F81" s="16">
        <v>59.99</v>
      </c>
      <c r="G81" s="16">
        <v>179.97</v>
      </c>
      <c r="H81" s="16" t="s">
        <v>19</v>
      </c>
      <c r="I81" s="17" t="s">
        <v>20</v>
      </c>
      <c r="J81" s="16">
        <v>212.3646</v>
      </c>
    </row>
    <row r="82" spans="1:10" x14ac:dyDescent="0.35">
      <c r="A82" s="13">
        <v>10202</v>
      </c>
      <c r="B82" s="12">
        <v>45493</v>
      </c>
      <c r="C82" s="13" t="s">
        <v>21</v>
      </c>
      <c r="D82" s="13" t="s">
        <v>219</v>
      </c>
      <c r="E82" s="13">
        <v>2</v>
      </c>
      <c r="F82" s="13">
        <v>14.99</v>
      </c>
      <c r="G82" s="13">
        <v>29.98</v>
      </c>
      <c r="H82" s="13" t="s">
        <v>11</v>
      </c>
      <c r="I82" s="14" t="s">
        <v>12</v>
      </c>
      <c r="J82" s="13">
        <v>35.376400000000004</v>
      </c>
    </row>
    <row r="83" spans="1:10" x14ac:dyDescent="0.35">
      <c r="A83" s="16">
        <v>10203</v>
      </c>
      <c r="B83" s="15">
        <v>45494</v>
      </c>
      <c r="C83" s="16" t="s">
        <v>23</v>
      </c>
      <c r="D83" s="16" t="s">
        <v>220</v>
      </c>
      <c r="E83" s="16">
        <v>1</v>
      </c>
      <c r="F83" s="16">
        <v>52</v>
      </c>
      <c r="G83" s="16">
        <v>52</v>
      </c>
      <c r="H83" s="16" t="s">
        <v>15</v>
      </c>
      <c r="I83" s="17" t="s">
        <v>16</v>
      </c>
      <c r="J83" s="16">
        <v>61.36</v>
      </c>
    </row>
    <row r="84" spans="1:10" x14ac:dyDescent="0.35">
      <c r="A84" s="13">
        <v>10204</v>
      </c>
      <c r="B84" s="12">
        <v>45495</v>
      </c>
      <c r="C84" s="13" t="s">
        <v>25</v>
      </c>
      <c r="D84" s="13" t="s">
        <v>221</v>
      </c>
      <c r="E84" s="13">
        <v>1</v>
      </c>
      <c r="F84" s="13">
        <v>399.99</v>
      </c>
      <c r="G84" s="13">
        <v>399.99</v>
      </c>
      <c r="H84" s="13" t="s">
        <v>19</v>
      </c>
      <c r="I84" s="14" t="s">
        <v>12</v>
      </c>
      <c r="J84" s="13">
        <v>471.98820000000001</v>
      </c>
    </row>
    <row r="85" spans="1:10" x14ac:dyDescent="0.35">
      <c r="A85" s="16">
        <v>10205</v>
      </c>
      <c r="B85" s="15">
        <v>45496</v>
      </c>
      <c r="C85" s="16" t="s">
        <v>9</v>
      </c>
      <c r="D85" s="16" t="s">
        <v>222</v>
      </c>
      <c r="E85" s="16">
        <v>1</v>
      </c>
      <c r="F85" s="16">
        <v>299.99</v>
      </c>
      <c r="G85" s="16">
        <v>299.99</v>
      </c>
      <c r="H85" s="16" t="s">
        <v>11</v>
      </c>
      <c r="I85" s="17" t="s">
        <v>12</v>
      </c>
      <c r="J85" s="16">
        <v>353.98820000000001</v>
      </c>
    </row>
    <row r="86" spans="1:10" x14ac:dyDescent="0.35">
      <c r="A86" s="13">
        <v>10206</v>
      </c>
      <c r="B86" s="12">
        <v>45497</v>
      </c>
      <c r="C86" s="13" t="s">
        <v>13</v>
      </c>
      <c r="D86" s="13" t="s">
        <v>223</v>
      </c>
      <c r="E86" s="13">
        <v>1</v>
      </c>
      <c r="F86" s="13">
        <v>379.99</v>
      </c>
      <c r="G86" s="13">
        <v>379.99</v>
      </c>
      <c r="H86" s="13" t="s">
        <v>15</v>
      </c>
      <c r="I86" s="14" t="s">
        <v>16</v>
      </c>
      <c r="J86" s="13">
        <v>448.38819999999998</v>
      </c>
    </row>
    <row r="87" spans="1:10" x14ac:dyDescent="0.35">
      <c r="A87" s="16">
        <v>10207</v>
      </c>
      <c r="B87" s="15">
        <v>45498</v>
      </c>
      <c r="C87" s="16" t="s">
        <v>17</v>
      </c>
      <c r="D87" s="16" t="s">
        <v>224</v>
      </c>
      <c r="E87" s="16">
        <v>2</v>
      </c>
      <c r="F87" s="16">
        <v>98</v>
      </c>
      <c r="G87" s="16">
        <v>196</v>
      </c>
      <c r="H87" s="16" t="s">
        <v>19</v>
      </c>
      <c r="I87" s="17" t="s">
        <v>20</v>
      </c>
      <c r="J87" s="16">
        <v>231.28</v>
      </c>
    </row>
    <row r="88" spans="1:10" x14ac:dyDescent="0.35">
      <c r="A88" s="13">
        <v>10208</v>
      </c>
      <c r="B88" s="12">
        <v>45499</v>
      </c>
      <c r="C88" s="13" t="s">
        <v>21</v>
      </c>
      <c r="D88" s="13" t="s">
        <v>225</v>
      </c>
      <c r="E88" s="13">
        <v>3</v>
      </c>
      <c r="F88" s="13">
        <v>16.989999999999998</v>
      </c>
      <c r="G88" s="13">
        <v>50.97</v>
      </c>
      <c r="H88" s="13" t="s">
        <v>11</v>
      </c>
      <c r="I88" s="14" t="s">
        <v>12</v>
      </c>
      <c r="J88" s="13">
        <v>60.144599999999997</v>
      </c>
    </row>
    <row r="89" spans="1:10" x14ac:dyDescent="0.35">
      <c r="A89" s="16">
        <v>10209</v>
      </c>
      <c r="B89" s="15">
        <v>45500</v>
      </c>
      <c r="C89" s="16" t="s">
        <v>23</v>
      </c>
      <c r="D89" s="16" t="s">
        <v>226</v>
      </c>
      <c r="E89" s="16">
        <v>1</v>
      </c>
      <c r="F89" s="16">
        <v>79</v>
      </c>
      <c r="G89" s="16">
        <v>79</v>
      </c>
      <c r="H89" s="16" t="s">
        <v>15</v>
      </c>
      <c r="I89" s="17" t="s">
        <v>16</v>
      </c>
      <c r="J89" s="16">
        <v>93.22</v>
      </c>
    </row>
    <row r="90" spans="1:10" x14ac:dyDescent="0.35">
      <c r="A90" s="13">
        <v>10210</v>
      </c>
      <c r="B90" s="12">
        <v>45501</v>
      </c>
      <c r="C90" s="13" t="s">
        <v>25</v>
      </c>
      <c r="D90" s="13" t="s">
        <v>227</v>
      </c>
      <c r="E90" s="13">
        <v>1</v>
      </c>
      <c r="F90" s="13">
        <v>129</v>
      </c>
      <c r="G90" s="13">
        <v>129</v>
      </c>
      <c r="H90" s="13" t="s">
        <v>19</v>
      </c>
      <c r="I90" s="14" t="s">
        <v>12</v>
      </c>
      <c r="J90" s="13">
        <v>152.22</v>
      </c>
    </row>
    <row r="91" spans="1:10" x14ac:dyDescent="0.35">
      <c r="A91" s="16">
        <v>10211</v>
      </c>
      <c r="B91" s="15">
        <v>45502</v>
      </c>
      <c r="C91" s="16" t="s">
        <v>9</v>
      </c>
      <c r="D91" s="16" t="s">
        <v>228</v>
      </c>
      <c r="E91" s="16">
        <v>1</v>
      </c>
      <c r="F91" s="16">
        <v>749.99</v>
      </c>
      <c r="G91" s="16">
        <v>749.99</v>
      </c>
      <c r="H91" s="16" t="s">
        <v>11</v>
      </c>
      <c r="I91" s="17" t="s">
        <v>12</v>
      </c>
      <c r="J91" s="16">
        <v>884.98820000000001</v>
      </c>
    </row>
    <row r="92" spans="1:10" x14ac:dyDescent="0.35">
      <c r="A92" s="13">
        <v>10212</v>
      </c>
      <c r="B92" s="12">
        <v>45503</v>
      </c>
      <c r="C92" s="13" t="s">
        <v>13</v>
      </c>
      <c r="D92" s="13" t="s">
        <v>34</v>
      </c>
      <c r="E92" s="13">
        <v>2</v>
      </c>
      <c r="F92" s="13">
        <v>169.99</v>
      </c>
      <c r="G92" s="13">
        <v>339.98</v>
      </c>
      <c r="H92" s="13" t="s">
        <v>15</v>
      </c>
      <c r="I92" s="14" t="s">
        <v>16</v>
      </c>
      <c r="J92" s="13">
        <v>401.1764</v>
      </c>
    </row>
    <row r="93" spans="1:10" x14ac:dyDescent="0.35">
      <c r="A93" s="16">
        <v>10213</v>
      </c>
      <c r="B93" s="15">
        <v>45504</v>
      </c>
      <c r="C93" s="16" t="s">
        <v>17</v>
      </c>
      <c r="D93" s="16" t="s">
        <v>229</v>
      </c>
      <c r="E93" s="16">
        <v>4</v>
      </c>
      <c r="F93" s="16">
        <v>9.9</v>
      </c>
      <c r="G93" s="16">
        <v>39.6</v>
      </c>
      <c r="H93" s="16" t="s">
        <v>19</v>
      </c>
      <c r="I93" s="17" t="s">
        <v>20</v>
      </c>
      <c r="J93" s="16">
        <v>46.728000000000002</v>
      </c>
    </row>
    <row r="94" spans="1:10" x14ac:dyDescent="0.35">
      <c r="A94" s="13">
        <v>10214</v>
      </c>
      <c r="B94" s="12">
        <v>45505</v>
      </c>
      <c r="C94" s="13" t="s">
        <v>21</v>
      </c>
      <c r="D94" s="13" t="s">
        <v>190</v>
      </c>
      <c r="E94" s="13">
        <v>3</v>
      </c>
      <c r="F94" s="13">
        <v>10.99</v>
      </c>
      <c r="G94" s="13">
        <v>32.97</v>
      </c>
      <c r="H94" s="13" t="s">
        <v>11</v>
      </c>
      <c r="I94" s="14" t="s">
        <v>12</v>
      </c>
      <c r="J94" s="13">
        <v>38.904600000000002</v>
      </c>
    </row>
    <row r="95" spans="1:10" x14ac:dyDescent="0.35">
      <c r="A95" s="16">
        <v>10215</v>
      </c>
      <c r="B95" s="15">
        <v>45506</v>
      </c>
      <c r="C95" s="16" t="s">
        <v>23</v>
      </c>
      <c r="D95" s="16" t="s">
        <v>230</v>
      </c>
      <c r="E95" s="16">
        <v>2</v>
      </c>
      <c r="F95" s="16">
        <v>29</v>
      </c>
      <c r="G95" s="16">
        <v>58</v>
      </c>
      <c r="H95" s="16" t="s">
        <v>15</v>
      </c>
      <c r="I95" s="17" t="s">
        <v>16</v>
      </c>
      <c r="J95" s="16">
        <v>68.44</v>
      </c>
    </row>
    <row r="96" spans="1:10" x14ac:dyDescent="0.35">
      <c r="A96" s="13">
        <v>10216</v>
      </c>
      <c r="B96" s="12">
        <v>45507</v>
      </c>
      <c r="C96" s="13" t="s">
        <v>25</v>
      </c>
      <c r="D96" s="13" t="s">
        <v>231</v>
      </c>
      <c r="E96" s="13">
        <v>1</v>
      </c>
      <c r="F96" s="13">
        <v>349.99</v>
      </c>
      <c r="G96" s="13">
        <v>349.99</v>
      </c>
      <c r="H96" s="13" t="s">
        <v>19</v>
      </c>
      <c r="I96" s="14" t="s">
        <v>12</v>
      </c>
      <c r="J96" s="13">
        <v>412.98820000000001</v>
      </c>
    </row>
    <row r="97" spans="1:10" x14ac:dyDescent="0.35">
      <c r="A97" s="16">
        <v>10217</v>
      </c>
      <c r="B97" s="15">
        <v>45508</v>
      </c>
      <c r="C97" s="16" t="s">
        <v>9</v>
      </c>
      <c r="D97" s="16" t="s">
        <v>232</v>
      </c>
      <c r="E97" s="16">
        <v>1</v>
      </c>
      <c r="F97" s="16">
        <v>2399</v>
      </c>
      <c r="G97" s="16">
        <v>2399</v>
      </c>
      <c r="H97" s="16" t="s">
        <v>11</v>
      </c>
      <c r="I97" s="17" t="s">
        <v>12</v>
      </c>
      <c r="J97" s="16">
        <v>2830.82</v>
      </c>
    </row>
    <row r="98" spans="1:10" x14ac:dyDescent="0.35">
      <c r="A98" s="13">
        <v>10218</v>
      </c>
      <c r="B98" s="12">
        <v>45509</v>
      </c>
      <c r="C98" s="13" t="s">
        <v>13</v>
      </c>
      <c r="D98" s="13" t="s">
        <v>233</v>
      </c>
      <c r="E98" s="13">
        <v>1</v>
      </c>
      <c r="F98" s="13">
        <v>449.99</v>
      </c>
      <c r="G98" s="13">
        <v>449.99</v>
      </c>
      <c r="H98" s="13" t="s">
        <v>15</v>
      </c>
      <c r="I98" s="14" t="s">
        <v>16</v>
      </c>
      <c r="J98" s="13">
        <v>530.98820000000001</v>
      </c>
    </row>
    <row r="99" spans="1:10" x14ac:dyDescent="0.35">
      <c r="A99" s="16">
        <v>10219</v>
      </c>
      <c r="B99" s="15">
        <v>45510</v>
      </c>
      <c r="C99" s="16" t="s">
        <v>17</v>
      </c>
      <c r="D99" s="16" t="s">
        <v>234</v>
      </c>
      <c r="E99" s="16">
        <v>3</v>
      </c>
      <c r="F99" s="16">
        <v>49.99</v>
      </c>
      <c r="G99" s="16">
        <v>149.97</v>
      </c>
      <c r="H99" s="16" t="s">
        <v>19</v>
      </c>
      <c r="I99" s="17" t="s">
        <v>20</v>
      </c>
      <c r="J99" s="16">
        <v>176.96459999999999</v>
      </c>
    </row>
    <row r="100" spans="1:10" x14ac:dyDescent="0.35">
      <c r="A100" s="13">
        <v>10220</v>
      </c>
      <c r="B100" s="12">
        <v>45511</v>
      </c>
      <c r="C100" s="13" t="s">
        <v>21</v>
      </c>
      <c r="D100" s="13" t="s">
        <v>235</v>
      </c>
      <c r="E100" s="13">
        <v>2</v>
      </c>
      <c r="F100" s="13">
        <v>12.99</v>
      </c>
      <c r="G100" s="13">
        <v>25.98</v>
      </c>
      <c r="H100" s="13" t="s">
        <v>11</v>
      </c>
      <c r="I100" s="14" t="s">
        <v>12</v>
      </c>
      <c r="J100" s="13">
        <v>30.656400000000001</v>
      </c>
    </row>
    <row r="101" spans="1:10" x14ac:dyDescent="0.35">
      <c r="A101" s="16">
        <v>10221</v>
      </c>
      <c r="B101" s="15">
        <v>45512</v>
      </c>
      <c r="C101" s="16" t="s">
        <v>23</v>
      </c>
      <c r="D101" s="16" t="s">
        <v>236</v>
      </c>
      <c r="E101" s="16">
        <v>1</v>
      </c>
      <c r="F101" s="16">
        <v>27</v>
      </c>
      <c r="G101" s="16">
        <v>27</v>
      </c>
      <c r="H101" s="16" t="s">
        <v>15</v>
      </c>
      <c r="I101" s="17" t="s">
        <v>16</v>
      </c>
      <c r="J101" s="16">
        <v>31.86</v>
      </c>
    </row>
    <row r="102" spans="1:10" x14ac:dyDescent="0.35">
      <c r="A102" s="13">
        <v>10222</v>
      </c>
      <c r="B102" s="12">
        <v>45513</v>
      </c>
      <c r="C102" s="13" t="s">
        <v>25</v>
      </c>
      <c r="D102" s="13" t="s">
        <v>39</v>
      </c>
      <c r="E102" s="13">
        <v>1</v>
      </c>
      <c r="F102" s="13">
        <v>599.99</v>
      </c>
      <c r="G102" s="13">
        <v>599.99</v>
      </c>
      <c r="H102" s="13" t="s">
        <v>19</v>
      </c>
      <c r="I102" s="14" t="s">
        <v>12</v>
      </c>
      <c r="J102" s="13">
        <v>707.98820000000001</v>
      </c>
    </row>
    <row r="103" spans="1:10" x14ac:dyDescent="0.35">
      <c r="A103" s="16">
        <v>10223</v>
      </c>
      <c r="B103" s="15">
        <v>45514</v>
      </c>
      <c r="C103" s="16" t="s">
        <v>9</v>
      </c>
      <c r="D103" s="16" t="s">
        <v>237</v>
      </c>
      <c r="E103" s="16">
        <v>4</v>
      </c>
      <c r="F103" s="16">
        <v>49.99</v>
      </c>
      <c r="G103" s="16">
        <v>199.96</v>
      </c>
      <c r="H103" s="16" t="s">
        <v>11</v>
      </c>
      <c r="I103" s="17" t="s">
        <v>12</v>
      </c>
      <c r="J103" s="16">
        <v>235.95280000000002</v>
      </c>
    </row>
    <row r="104" spans="1:10" x14ac:dyDescent="0.35">
      <c r="A104" s="13">
        <v>10224</v>
      </c>
      <c r="B104" s="12">
        <v>45515</v>
      </c>
      <c r="C104" s="13" t="s">
        <v>13</v>
      </c>
      <c r="D104" s="13" t="s">
        <v>238</v>
      </c>
      <c r="E104" s="13">
        <v>2</v>
      </c>
      <c r="F104" s="13">
        <v>229.99</v>
      </c>
      <c r="G104" s="13">
        <v>459.98</v>
      </c>
      <c r="H104" s="13" t="s">
        <v>15</v>
      </c>
      <c r="I104" s="14" t="s">
        <v>16</v>
      </c>
      <c r="J104" s="13">
        <v>542.77639999999997</v>
      </c>
    </row>
    <row r="105" spans="1:10" x14ac:dyDescent="0.35">
      <c r="A105" s="16">
        <v>10225</v>
      </c>
      <c r="B105" s="15">
        <v>45516</v>
      </c>
      <c r="C105" s="16" t="s">
        <v>17</v>
      </c>
      <c r="D105" s="16" t="s">
        <v>239</v>
      </c>
      <c r="E105" s="16">
        <v>2</v>
      </c>
      <c r="F105" s="16">
        <v>44.99</v>
      </c>
      <c r="G105" s="16">
        <v>89.98</v>
      </c>
      <c r="H105" s="16" t="s">
        <v>19</v>
      </c>
      <c r="I105" s="17" t="s">
        <v>20</v>
      </c>
      <c r="J105" s="16">
        <v>106.1764</v>
      </c>
    </row>
    <row r="106" spans="1:10" x14ac:dyDescent="0.35">
      <c r="A106" s="13">
        <v>10226</v>
      </c>
      <c r="B106" s="12">
        <v>45517</v>
      </c>
      <c r="C106" s="13" t="s">
        <v>21</v>
      </c>
      <c r="D106" s="13" t="s">
        <v>72</v>
      </c>
      <c r="E106" s="13">
        <v>3</v>
      </c>
      <c r="F106" s="13">
        <v>26.99</v>
      </c>
      <c r="G106" s="13">
        <v>80.97</v>
      </c>
      <c r="H106" s="13" t="s">
        <v>11</v>
      </c>
      <c r="I106" s="14" t="s">
        <v>12</v>
      </c>
      <c r="J106" s="13">
        <v>95.544600000000003</v>
      </c>
    </row>
    <row r="107" spans="1:10" x14ac:dyDescent="0.35">
      <c r="A107" s="16">
        <v>10227</v>
      </c>
      <c r="B107" s="15">
        <v>45518</v>
      </c>
      <c r="C107" s="16" t="s">
        <v>23</v>
      </c>
      <c r="D107" s="16" t="s">
        <v>240</v>
      </c>
      <c r="E107" s="16">
        <v>1</v>
      </c>
      <c r="F107" s="16">
        <v>6.7</v>
      </c>
      <c r="G107" s="16">
        <v>6.7</v>
      </c>
      <c r="H107" s="16" t="s">
        <v>15</v>
      </c>
      <c r="I107" s="17" t="s">
        <v>16</v>
      </c>
      <c r="J107" s="16">
        <v>7.9060000000000006</v>
      </c>
    </row>
    <row r="108" spans="1:10" x14ac:dyDescent="0.35">
      <c r="A108" s="13">
        <v>10228</v>
      </c>
      <c r="B108" s="12">
        <v>45519</v>
      </c>
      <c r="C108" s="13" t="s">
        <v>25</v>
      </c>
      <c r="D108" s="13" t="s">
        <v>241</v>
      </c>
      <c r="E108" s="13">
        <v>2</v>
      </c>
      <c r="F108" s="13">
        <v>149.94999999999999</v>
      </c>
      <c r="G108" s="13">
        <v>299.89999999999998</v>
      </c>
      <c r="H108" s="13" t="s">
        <v>19</v>
      </c>
      <c r="I108" s="14" t="s">
        <v>12</v>
      </c>
      <c r="J108" s="13">
        <v>353.88199999999995</v>
      </c>
    </row>
    <row r="109" spans="1:10" x14ac:dyDescent="0.35">
      <c r="A109" s="16">
        <v>10229</v>
      </c>
      <c r="B109" s="15">
        <v>45520</v>
      </c>
      <c r="C109" s="16" t="s">
        <v>9</v>
      </c>
      <c r="D109" s="16" t="s">
        <v>242</v>
      </c>
      <c r="E109" s="16">
        <v>1</v>
      </c>
      <c r="F109" s="16">
        <v>169</v>
      </c>
      <c r="G109" s="16">
        <v>169</v>
      </c>
      <c r="H109" s="16" t="s">
        <v>11</v>
      </c>
      <c r="I109" s="17" t="s">
        <v>12</v>
      </c>
      <c r="J109" s="16">
        <v>199.42</v>
      </c>
    </row>
    <row r="110" spans="1:10" x14ac:dyDescent="0.35">
      <c r="A110" s="13">
        <v>10230</v>
      </c>
      <c r="B110" s="12">
        <v>45521</v>
      </c>
      <c r="C110" s="13" t="s">
        <v>13</v>
      </c>
      <c r="D110" s="13" t="s">
        <v>243</v>
      </c>
      <c r="E110" s="13">
        <v>1</v>
      </c>
      <c r="F110" s="13">
        <v>599</v>
      </c>
      <c r="G110" s="13">
        <v>599</v>
      </c>
      <c r="H110" s="13" t="s">
        <v>15</v>
      </c>
      <c r="I110" s="14" t="s">
        <v>16</v>
      </c>
      <c r="J110" s="13">
        <v>706.81999999999994</v>
      </c>
    </row>
    <row r="111" spans="1:10" x14ac:dyDescent="0.35">
      <c r="A111" s="16">
        <v>10231</v>
      </c>
      <c r="B111" s="15">
        <v>45522</v>
      </c>
      <c r="C111" s="16" t="s">
        <v>17</v>
      </c>
      <c r="D111" s="16" t="s">
        <v>244</v>
      </c>
      <c r="E111" s="16">
        <v>4</v>
      </c>
      <c r="F111" s="16">
        <v>64.989999999999995</v>
      </c>
      <c r="G111" s="16">
        <v>259.95999999999998</v>
      </c>
      <c r="H111" s="16" t="s">
        <v>19</v>
      </c>
      <c r="I111" s="17" t="s">
        <v>20</v>
      </c>
      <c r="J111" s="16">
        <v>306.75279999999998</v>
      </c>
    </row>
    <row r="112" spans="1:10" x14ac:dyDescent="0.35">
      <c r="A112" s="13">
        <v>10232</v>
      </c>
      <c r="B112" s="12">
        <v>45523</v>
      </c>
      <c r="C112" s="13" t="s">
        <v>21</v>
      </c>
      <c r="D112" s="13" t="s">
        <v>30</v>
      </c>
      <c r="E112" s="13">
        <v>2</v>
      </c>
      <c r="F112" s="13">
        <v>9.99</v>
      </c>
      <c r="G112" s="13">
        <v>19.98</v>
      </c>
      <c r="H112" s="13" t="s">
        <v>11</v>
      </c>
      <c r="I112" s="14" t="s">
        <v>12</v>
      </c>
      <c r="J112" s="13">
        <v>23.5764</v>
      </c>
    </row>
    <row r="113" spans="1:10" x14ac:dyDescent="0.35">
      <c r="A113" s="16">
        <v>10233</v>
      </c>
      <c r="B113" s="15">
        <v>45524</v>
      </c>
      <c r="C113" s="16" t="s">
        <v>23</v>
      </c>
      <c r="D113" s="16" t="s">
        <v>245</v>
      </c>
      <c r="E113" s="16">
        <v>1</v>
      </c>
      <c r="F113" s="16">
        <v>24</v>
      </c>
      <c r="G113" s="16">
        <v>24</v>
      </c>
      <c r="H113" s="16" t="s">
        <v>15</v>
      </c>
      <c r="I113" s="17" t="s">
        <v>16</v>
      </c>
      <c r="J113" s="16">
        <v>28.32</v>
      </c>
    </row>
    <row r="114" spans="1:10" x14ac:dyDescent="0.35">
      <c r="A114" s="13">
        <v>10234</v>
      </c>
      <c r="B114" s="12">
        <v>45525</v>
      </c>
      <c r="C114" s="13" t="s">
        <v>25</v>
      </c>
      <c r="D114" s="13" t="s">
        <v>246</v>
      </c>
      <c r="E114" s="13">
        <v>3</v>
      </c>
      <c r="F114" s="13">
        <v>32.950000000000003</v>
      </c>
      <c r="G114" s="13">
        <v>98.85</v>
      </c>
      <c r="H114" s="13" t="s">
        <v>19</v>
      </c>
      <c r="I114" s="14" t="s">
        <v>12</v>
      </c>
      <c r="J114" s="13">
        <v>116.643</v>
      </c>
    </row>
    <row r="115" spans="1:10" x14ac:dyDescent="0.35">
      <c r="A115" s="16">
        <v>10235</v>
      </c>
      <c r="B115" s="15">
        <v>45526</v>
      </c>
      <c r="C115" s="16" t="s">
        <v>9</v>
      </c>
      <c r="D115" s="16" t="s">
        <v>247</v>
      </c>
      <c r="E115" s="16">
        <v>1</v>
      </c>
      <c r="F115" s="16">
        <v>299</v>
      </c>
      <c r="G115" s="16">
        <v>299</v>
      </c>
      <c r="H115" s="16" t="s">
        <v>11</v>
      </c>
      <c r="I115" s="17" t="s">
        <v>12</v>
      </c>
      <c r="J115" s="16">
        <v>352.82</v>
      </c>
    </row>
    <row r="116" spans="1:10" x14ac:dyDescent="0.35">
      <c r="A116" s="13">
        <v>10236</v>
      </c>
      <c r="B116" s="12">
        <v>45527</v>
      </c>
      <c r="C116" s="13" t="s">
        <v>13</v>
      </c>
      <c r="D116" s="13" t="s">
        <v>248</v>
      </c>
      <c r="E116" s="13">
        <v>1</v>
      </c>
      <c r="F116" s="13">
        <v>159.99</v>
      </c>
      <c r="G116" s="13">
        <v>159.99</v>
      </c>
      <c r="H116" s="13" t="s">
        <v>15</v>
      </c>
      <c r="I116" s="14" t="s">
        <v>16</v>
      </c>
      <c r="J116" s="13">
        <v>188.78820000000002</v>
      </c>
    </row>
    <row r="117" spans="1:10" x14ac:dyDescent="0.35">
      <c r="A117" s="16">
        <v>10237</v>
      </c>
      <c r="B117" s="15">
        <v>45528</v>
      </c>
      <c r="C117" s="16" t="s">
        <v>17</v>
      </c>
      <c r="D117" s="16" t="s">
        <v>249</v>
      </c>
      <c r="E117" s="16">
        <v>3</v>
      </c>
      <c r="F117" s="16">
        <v>90</v>
      </c>
      <c r="G117" s="16">
        <v>270</v>
      </c>
      <c r="H117" s="16" t="s">
        <v>19</v>
      </c>
      <c r="I117" s="17" t="s">
        <v>20</v>
      </c>
      <c r="J117" s="16">
        <v>318.60000000000002</v>
      </c>
    </row>
    <row r="118" spans="1:10" x14ac:dyDescent="0.35">
      <c r="A118" s="13">
        <v>10238</v>
      </c>
      <c r="B118" s="12">
        <v>45529</v>
      </c>
      <c r="C118" s="13" t="s">
        <v>21</v>
      </c>
      <c r="D118" s="13" t="s">
        <v>250</v>
      </c>
      <c r="E118" s="13">
        <v>3</v>
      </c>
      <c r="F118" s="13">
        <v>10.99</v>
      </c>
      <c r="G118" s="13">
        <v>32.97</v>
      </c>
      <c r="H118" s="13" t="s">
        <v>11</v>
      </c>
      <c r="I118" s="14" t="s">
        <v>12</v>
      </c>
      <c r="J118" s="13">
        <v>38.904600000000002</v>
      </c>
    </row>
    <row r="119" spans="1:10" x14ac:dyDescent="0.35">
      <c r="A119" s="16">
        <v>10239</v>
      </c>
      <c r="B119" s="15">
        <v>45530</v>
      </c>
      <c r="C119" s="16" t="s">
        <v>23</v>
      </c>
      <c r="D119" s="16" t="s">
        <v>251</v>
      </c>
      <c r="E119" s="16">
        <v>1</v>
      </c>
      <c r="F119" s="16">
        <v>55</v>
      </c>
      <c r="G119" s="16">
        <v>55</v>
      </c>
      <c r="H119" s="16" t="s">
        <v>15</v>
      </c>
      <c r="I119" s="17" t="s">
        <v>16</v>
      </c>
      <c r="J119" s="16">
        <v>64.900000000000006</v>
      </c>
    </row>
    <row r="120" spans="1:10" x14ac:dyDescent="0.35">
      <c r="A120" s="13">
        <v>10240</v>
      </c>
      <c r="B120" s="12">
        <v>45531</v>
      </c>
      <c r="C120" s="13" t="s">
        <v>25</v>
      </c>
      <c r="D120" s="13" t="s">
        <v>252</v>
      </c>
      <c r="E120" s="13">
        <v>2</v>
      </c>
      <c r="F120" s="13">
        <v>29.99</v>
      </c>
      <c r="G120" s="13">
        <v>59.98</v>
      </c>
      <c r="H120" s="13" t="s">
        <v>19</v>
      </c>
      <c r="I120" s="14" t="s">
        <v>12</v>
      </c>
      <c r="J120" s="13">
        <v>70.776399999999995</v>
      </c>
    </row>
    <row r="121" spans="1:10" x14ac:dyDescent="0.35">
      <c r="G121">
        <f>SUM(G2:G120)</f>
        <v>29915.23000000001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23"/>
  <sheetViews>
    <sheetView tabSelected="1" topLeftCell="A115" workbookViewId="0">
      <selection activeCell="E129" sqref="E129"/>
    </sheetView>
  </sheetViews>
  <sheetFormatPr defaultRowHeight="14.5" x14ac:dyDescent="0.35"/>
  <cols>
    <col min="1" max="1" width="11.81640625" bestFit="1" customWidth="1"/>
    <col min="2" max="2" width="10.08984375" bestFit="1" customWidth="1"/>
    <col min="3" max="3" width="15.36328125" bestFit="1" customWidth="1"/>
    <col min="4" max="4" width="51.1796875" bestFit="1" customWidth="1"/>
    <col min="5" max="5" width="8.54296875" bestFit="1" customWidth="1"/>
    <col min="6" max="6" width="8.26953125" bestFit="1" customWidth="1"/>
    <col min="7" max="7" width="11.7265625" bestFit="1" customWidth="1"/>
    <col min="8" max="8" width="13" bestFit="1" customWidth="1"/>
    <col min="9" max="9" width="14.1796875" bestFit="1" customWidth="1"/>
    <col min="10" max="10" width="12.90625" bestFit="1" customWidth="1"/>
  </cols>
  <sheetData>
    <row r="1" spans="1:10" x14ac:dyDescent="0.3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1" t="s">
        <v>8</v>
      </c>
      <c r="J1" s="20" t="s">
        <v>253</v>
      </c>
    </row>
    <row r="2" spans="1:10" x14ac:dyDescent="0.35">
      <c r="A2" s="13">
        <v>10001</v>
      </c>
      <c r="B2" s="12">
        <v>45292</v>
      </c>
      <c r="C2" s="13" t="s">
        <v>9</v>
      </c>
      <c r="D2" s="13" t="s">
        <v>10</v>
      </c>
      <c r="E2" s="13">
        <v>2</v>
      </c>
      <c r="F2" s="13">
        <v>999.99</v>
      </c>
      <c r="G2" s="13">
        <v>1999.98</v>
      </c>
      <c r="H2" s="13" t="s">
        <v>11</v>
      </c>
      <c r="I2" s="14" t="s">
        <v>12</v>
      </c>
      <c r="J2" s="19">
        <f>(Table1[[#This Row],[Total Revenue]] * 0.18) + Table1[[#This Row],[Total Revenue]]</f>
        <v>2359.9764</v>
      </c>
    </row>
    <row r="3" spans="1:10" x14ac:dyDescent="0.35">
      <c r="A3" s="16">
        <v>10002</v>
      </c>
      <c r="B3" s="15">
        <v>45293</v>
      </c>
      <c r="C3" s="16" t="s">
        <v>13</v>
      </c>
      <c r="D3" s="16" t="s">
        <v>14</v>
      </c>
      <c r="E3" s="16">
        <v>1</v>
      </c>
      <c r="F3" s="16">
        <v>499.99</v>
      </c>
      <c r="G3" s="16">
        <v>499.99</v>
      </c>
      <c r="H3" s="16" t="s">
        <v>15</v>
      </c>
      <c r="I3" s="17" t="s">
        <v>16</v>
      </c>
      <c r="J3" s="16">
        <f>(Table1[[#This Row],[Total Revenue]] * 0.18) + Table1[[#This Row],[Total Revenue]]</f>
        <v>589.98820000000001</v>
      </c>
    </row>
    <row r="4" spans="1:10" x14ac:dyDescent="0.35">
      <c r="A4" s="13">
        <v>10003</v>
      </c>
      <c r="B4" s="12">
        <v>45294</v>
      </c>
      <c r="C4" s="13" t="s">
        <v>17</v>
      </c>
      <c r="D4" s="13" t="s">
        <v>18</v>
      </c>
      <c r="E4" s="13">
        <v>3</v>
      </c>
      <c r="F4" s="13">
        <v>69.989999999999995</v>
      </c>
      <c r="G4" s="13">
        <v>209.97</v>
      </c>
      <c r="H4" s="13" t="s">
        <v>19</v>
      </c>
      <c r="I4" s="14" t="s">
        <v>20</v>
      </c>
      <c r="J4" s="13">
        <f>(Table1[[#This Row],[Total Revenue]] * 0.18) + Table1[[#This Row],[Total Revenue]]</f>
        <v>247.7646</v>
      </c>
    </row>
    <row r="5" spans="1:10" x14ac:dyDescent="0.35">
      <c r="A5" s="16">
        <v>10004</v>
      </c>
      <c r="B5" s="15">
        <v>45295</v>
      </c>
      <c r="C5" s="16" t="s">
        <v>21</v>
      </c>
      <c r="D5" s="16" t="s">
        <v>22</v>
      </c>
      <c r="E5" s="16">
        <v>4</v>
      </c>
      <c r="F5" s="16">
        <v>15.99</v>
      </c>
      <c r="G5" s="16">
        <v>63.96</v>
      </c>
      <c r="H5" s="16" t="s">
        <v>11</v>
      </c>
      <c r="I5" s="17" t="s">
        <v>12</v>
      </c>
      <c r="J5" s="16">
        <f>(Table1[[#This Row],[Total Revenue]] * 0.18) + Table1[[#This Row],[Total Revenue]]</f>
        <v>75.472800000000007</v>
      </c>
    </row>
    <row r="6" spans="1:10" x14ac:dyDescent="0.35">
      <c r="A6" s="13">
        <v>10005</v>
      </c>
      <c r="B6" s="12">
        <v>45296</v>
      </c>
      <c r="C6" s="13" t="s">
        <v>23</v>
      </c>
      <c r="D6" s="13" t="s">
        <v>24</v>
      </c>
      <c r="E6" s="13">
        <v>1</v>
      </c>
      <c r="F6" s="13">
        <v>89.99</v>
      </c>
      <c r="G6" s="13">
        <v>89.99</v>
      </c>
      <c r="H6" s="13" t="s">
        <v>15</v>
      </c>
      <c r="I6" s="14" t="s">
        <v>16</v>
      </c>
      <c r="J6" s="13">
        <f>(Table1[[#This Row],[Total Revenue]] * 0.18) + Table1[[#This Row],[Total Revenue]]</f>
        <v>106.18819999999999</v>
      </c>
    </row>
    <row r="7" spans="1:10" x14ac:dyDescent="0.35">
      <c r="A7" s="16">
        <v>10006</v>
      </c>
      <c r="B7" s="15">
        <v>45297</v>
      </c>
      <c r="C7" s="16" t="s">
        <v>25</v>
      </c>
      <c r="D7" s="16" t="s">
        <v>26</v>
      </c>
      <c r="E7" s="16">
        <v>5</v>
      </c>
      <c r="F7" s="16">
        <v>29.99</v>
      </c>
      <c r="G7" s="16">
        <v>149.94999999999999</v>
      </c>
      <c r="H7" s="16" t="s">
        <v>19</v>
      </c>
      <c r="I7" s="17" t="s">
        <v>12</v>
      </c>
      <c r="J7" s="16">
        <f>(Table1[[#This Row],[Total Revenue]] * 0.18) + Table1[[#This Row],[Total Revenue]]</f>
        <v>176.94099999999997</v>
      </c>
    </row>
    <row r="8" spans="1:10" x14ac:dyDescent="0.35">
      <c r="A8" s="13">
        <v>10007</v>
      </c>
      <c r="B8" s="12">
        <v>45298</v>
      </c>
      <c r="C8" s="13" t="s">
        <v>9</v>
      </c>
      <c r="D8" s="13" t="s">
        <v>27</v>
      </c>
      <c r="E8" s="13">
        <v>1</v>
      </c>
      <c r="F8" s="13">
        <v>2499.9899999999998</v>
      </c>
      <c r="G8" s="13">
        <v>2499.9899999999998</v>
      </c>
      <c r="H8" s="13" t="s">
        <v>11</v>
      </c>
      <c r="I8" s="14" t="s">
        <v>12</v>
      </c>
      <c r="J8" s="13">
        <f>(Table1[[#This Row],[Total Revenue]] * 0.18) + Table1[[#This Row],[Total Revenue]]</f>
        <v>2949.9881999999998</v>
      </c>
    </row>
    <row r="9" spans="1:10" x14ac:dyDescent="0.35">
      <c r="A9" s="16">
        <v>10008</v>
      </c>
      <c r="B9" s="15">
        <v>45299</v>
      </c>
      <c r="C9" s="16" t="s">
        <v>13</v>
      </c>
      <c r="D9" s="16" t="s">
        <v>28</v>
      </c>
      <c r="E9" s="16">
        <v>2</v>
      </c>
      <c r="F9" s="16">
        <v>599.99</v>
      </c>
      <c r="G9" s="16">
        <v>1199.98</v>
      </c>
      <c r="H9" s="16" t="s">
        <v>15</v>
      </c>
      <c r="I9" s="17" t="s">
        <v>16</v>
      </c>
      <c r="J9" s="16">
        <f>(Table1[[#This Row],[Total Revenue]] * 0.18) + Table1[[#This Row],[Total Revenue]]</f>
        <v>1415.9764</v>
      </c>
    </row>
    <row r="10" spans="1:10" x14ac:dyDescent="0.35">
      <c r="A10" s="13">
        <v>10009</v>
      </c>
      <c r="B10" s="12">
        <v>45300</v>
      </c>
      <c r="C10" s="13" t="s">
        <v>17</v>
      </c>
      <c r="D10" s="13" t="s">
        <v>29</v>
      </c>
      <c r="E10" s="13">
        <v>6</v>
      </c>
      <c r="F10" s="13">
        <v>89.99</v>
      </c>
      <c r="G10" s="13">
        <v>539.94000000000005</v>
      </c>
      <c r="H10" s="13" t="s">
        <v>19</v>
      </c>
      <c r="I10" s="14" t="s">
        <v>20</v>
      </c>
      <c r="J10" s="13">
        <f>(Table1[[#This Row],[Total Revenue]] * 0.18) + Table1[[#This Row],[Total Revenue]]</f>
        <v>637.12920000000008</v>
      </c>
    </row>
    <row r="11" spans="1:10" x14ac:dyDescent="0.35">
      <c r="A11" s="16">
        <v>10010</v>
      </c>
      <c r="B11" s="15">
        <v>45301</v>
      </c>
      <c r="C11" s="16" t="s">
        <v>21</v>
      </c>
      <c r="D11" s="16" t="s">
        <v>30</v>
      </c>
      <c r="E11" s="16">
        <v>2</v>
      </c>
      <c r="F11" s="16">
        <v>25.99</v>
      </c>
      <c r="G11" s="16">
        <v>51.98</v>
      </c>
      <c r="H11" s="16" t="s">
        <v>11</v>
      </c>
      <c r="I11" s="17" t="s">
        <v>12</v>
      </c>
      <c r="J11" s="16">
        <f>(Table1[[#This Row],[Total Revenue]] * 0.18) + Table1[[#This Row],[Total Revenue]]</f>
        <v>61.336399999999998</v>
      </c>
    </row>
    <row r="12" spans="1:10" x14ac:dyDescent="0.35">
      <c r="A12" s="13">
        <v>10011</v>
      </c>
      <c r="B12" s="12">
        <v>45302</v>
      </c>
      <c r="C12" s="13" t="s">
        <v>23</v>
      </c>
      <c r="D12" s="13" t="s">
        <v>31</v>
      </c>
      <c r="E12" s="13">
        <v>1</v>
      </c>
      <c r="F12" s="13">
        <v>129.99</v>
      </c>
      <c r="G12" s="13">
        <v>129.99</v>
      </c>
      <c r="H12" s="13" t="s">
        <v>15</v>
      </c>
      <c r="I12" s="14" t="s">
        <v>16</v>
      </c>
      <c r="J12" s="13">
        <f>(Table1[[#This Row],[Total Revenue]] * 0.18) + Table1[[#This Row],[Total Revenue]]</f>
        <v>153.38820000000001</v>
      </c>
    </row>
    <row r="13" spans="1:10" x14ac:dyDescent="0.35">
      <c r="A13" s="16">
        <v>10012</v>
      </c>
      <c r="B13" s="15">
        <v>45303</v>
      </c>
      <c r="C13" s="16" t="s">
        <v>25</v>
      </c>
      <c r="D13" s="16" t="s">
        <v>32</v>
      </c>
      <c r="E13" s="16">
        <v>3</v>
      </c>
      <c r="F13" s="16">
        <v>199.99</v>
      </c>
      <c r="G13" s="16">
        <v>599.97</v>
      </c>
      <c r="H13" s="16" t="s">
        <v>19</v>
      </c>
      <c r="I13" s="17" t="s">
        <v>12</v>
      </c>
      <c r="J13" s="16">
        <f>(Table1[[#This Row],[Total Revenue]] * 0.18) + Table1[[#This Row],[Total Revenue]]</f>
        <v>707.96460000000002</v>
      </c>
    </row>
    <row r="14" spans="1:10" x14ac:dyDescent="0.35">
      <c r="A14" s="13">
        <v>10013</v>
      </c>
      <c r="B14" s="12">
        <v>45304</v>
      </c>
      <c r="C14" s="13" t="s">
        <v>9</v>
      </c>
      <c r="D14" s="13" t="s">
        <v>33</v>
      </c>
      <c r="E14" s="13">
        <v>2</v>
      </c>
      <c r="F14" s="13">
        <v>749.99</v>
      </c>
      <c r="G14" s="13">
        <v>1499.98</v>
      </c>
      <c r="H14" s="13" t="s">
        <v>11</v>
      </c>
      <c r="I14" s="14" t="s">
        <v>12</v>
      </c>
      <c r="J14" s="13">
        <f>(Table1[[#This Row],[Total Revenue]] * 0.18) + Table1[[#This Row],[Total Revenue]]</f>
        <v>1769.9764</v>
      </c>
    </row>
    <row r="15" spans="1:10" x14ac:dyDescent="0.35">
      <c r="A15" s="16">
        <v>10014</v>
      </c>
      <c r="B15" s="15">
        <v>45305</v>
      </c>
      <c r="C15" s="16" t="s">
        <v>13</v>
      </c>
      <c r="D15" s="16" t="s">
        <v>34</v>
      </c>
      <c r="E15" s="16">
        <v>1</v>
      </c>
      <c r="F15" s="16">
        <v>189.99</v>
      </c>
      <c r="G15" s="16">
        <v>189.99</v>
      </c>
      <c r="H15" s="16" t="s">
        <v>15</v>
      </c>
      <c r="I15" s="17" t="s">
        <v>16</v>
      </c>
      <c r="J15" s="16">
        <f>(Table1[[#This Row],[Total Revenue]] * 0.18) + Table1[[#This Row],[Total Revenue]]</f>
        <v>224.18819999999999</v>
      </c>
    </row>
    <row r="16" spans="1:10" x14ac:dyDescent="0.35">
      <c r="A16" s="13">
        <v>10015</v>
      </c>
      <c r="B16" s="12">
        <v>45306</v>
      </c>
      <c r="C16" s="13" t="s">
        <v>17</v>
      </c>
      <c r="D16" s="13" t="s">
        <v>35</v>
      </c>
      <c r="E16" s="13">
        <v>2</v>
      </c>
      <c r="F16" s="13">
        <v>249.99</v>
      </c>
      <c r="G16" s="13">
        <v>499.98</v>
      </c>
      <c r="H16" s="13" t="s">
        <v>19</v>
      </c>
      <c r="I16" s="14" t="s">
        <v>20</v>
      </c>
      <c r="J16" s="13">
        <f>(Table1[[#This Row],[Total Revenue]] * 0.18) + Table1[[#This Row],[Total Revenue]]</f>
        <v>589.97640000000001</v>
      </c>
    </row>
    <row r="17" spans="1:10" x14ac:dyDescent="0.35">
      <c r="A17" s="16">
        <v>10016</v>
      </c>
      <c r="B17" s="15">
        <v>45307</v>
      </c>
      <c r="C17" s="16" t="s">
        <v>21</v>
      </c>
      <c r="D17" s="16" t="s">
        <v>36</v>
      </c>
      <c r="E17" s="16">
        <v>3</v>
      </c>
      <c r="F17" s="16">
        <v>35.99</v>
      </c>
      <c r="G17" s="16">
        <v>107.97</v>
      </c>
      <c r="H17" s="16" t="s">
        <v>11</v>
      </c>
      <c r="I17" s="17" t="s">
        <v>12</v>
      </c>
      <c r="J17" s="16">
        <f>(Table1[[#This Row],[Total Revenue]] * 0.18) + Table1[[#This Row],[Total Revenue]]</f>
        <v>127.4046</v>
      </c>
    </row>
    <row r="18" spans="1:10" x14ac:dyDescent="0.35">
      <c r="A18" s="13">
        <v>10017</v>
      </c>
      <c r="B18" s="12">
        <v>45308</v>
      </c>
      <c r="C18" s="13" t="s">
        <v>23</v>
      </c>
      <c r="D18" s="13" t="s">
        <v>37</v>
      </c>
      <c r="E18" s="13">
        <v>1</v>
      </c>
      <c r="F18" s="13">
        <v>399.99</v>
      </c>
      <c r="G18" s="13">
        <v>399.99</v>
      </c>
      <c r="H18" s="13" t="s">
        <v>15</v>
      </c>
      <c r="I18" s="14" t="s">
        <v>16</v>
      </c>
      <c r="J18" s="13">
        <f>(Table1[[#This Row],[Total Revenue]] * 0.18) + Table1[[#This Row],[Total Revenue]]</f>
        <v>471.98820000000001</v>
      </c>
    </row>
    <row r="19" spans="1:10" x14ac:dyDescent="0.35">
      <c r="A19" s="16">
        <v>10018</v>
      </c>
      <c r="B19" s="15">
        <v>45309</v>
      </c>
      <c r="C19" s="16" t="s">
        <v>25</v>
      </c>
      <c r="D19" s="16" t="s">
        <v>38</v>
      </c>
      <c r="E19" s="16">
        <v>4</v>
      </c>
      <c r="F19" s="16">
        <v>119.99</v>
      </c>
      <c r="G19" s="16">
        <v>479.96</v>
      </c>
      <c r="H19" s="16" t="s">
        <v>19</v>
      </c>
      <c r="I19" s="17" t="s">
        <v>12</v>
      </c>
      <c r="J19" s="16">
        <f>(Table1[[#This Row],[Total Revenue]] * 0.18) + Table1[[#This Row],[Total Revenue]]</f>
        <v>566.3528</v>
      </c>
    </row>
    <row r="20" spans="1:10" x14ac:dyDescent="0.35">
      <c r="A20" s="13">
        <v>10019</v>
      </c>
      <c r="B20" s="12">
        <v>45310</v>
      </c>
      <c r="C20" s="13" t="s">
        <v>9</v>
      </c>
      <c r="D20" s="13" t="s">
        <v>39</v>
      </c>
      <c r="E20" s="13">
        <v>2</v>
      </c>
      <c r="F20" s="13">
        <v>499.99</v>
      </c>
      <c r="G20" s="13">
        <v>999.98</v>
      </c>
      <c r="H20" s="13" t="s">
        <v>11</v>
      </c>
      <c r="I20" s="14" t="s">
        <v>12</v>
      </c>
      <c r="J20" s="13">
        <f>(Table1[[#This Row],[Total Revenue]] * 0.18) + Table1[[#This Row],[Total Revenue]]</f>
        <v>1179.9764</v>
      </c>
    </row>
    <row r="21" spans="1:10" x14ac:dyDescent="0.35">
      <c r="A21" s="16">
        <v>10020</v>
      </c>
      <c r="B21" s="15">
        <v>45311</v>
      </c>
      <c r="C21" s="16" t="s">
        <v>13</v>
      </c>
      <c r="D21" s="16" t="s">
        <v>40</v>
      </c>
      <c r="E21" s="16">
        <v>1</v>
      </c>
      <c r="F21" s="16">
        <v>99.99</v>
      </c>
      <c r="G21" s="16">
        <v>99.99</v>
      </c>
      <c r="H21" s="16" t="s">
        <v>15</v>
      </c>
      <c r="I21" s="17" t="s">
        <v>16</v>
      </c>
      <c r="J21" s="16">
        <f>(Table1[[#This Row],[Total Revenue]] * 0.18) + Table1[[#This Row],[Total Revenue]]</f>
        <v>117.98819999999999</v>
      </c>
    </row>
    <row r="22" spans="1:10" x14ac:dyDescent="0.35">
      <c r="A22" s="13">
        <v>10021</v>
      </c>
      <c r="B22" s="12">
        <v>45312</v>
      </c>
      <c r="C22" s="13" t="s">
        <v>17</v>
      </c>
      <c r="D22" s="13" t="s">
        <v>41</v>
      </c>
      <c r="E22" s="13">
        <v>3</v>
      </c>
      <c r="F22" s="13">
        <v>59.99</v>
      </c>
      <c r="G22" s="13">
        <v>179.97</v>
      </c>
      <c r="H22" s="13" t="s">
        <v>19</v>
      </c>
      <c r="I22" s="14" t="s">
        <v>20</v>
      </c>
      <c r="J22" s="13">
        <f>(Table1[[#This Row],[Total Revenue]] * 0.18) + Table1[[#This Row],[Total Revenue]]</f>
        <v>212.3646</v>
      </c>
    </row>
    <row r="23" spans="1:10" x14ac:dyDescent="0.35">
      <c r="A23" s="16">
        <v>10022</v>
      </c>
      <c r="B23" s="15">
        <v>45313</v>
      </c>
      <c r="C23" s="16" t="s">
        <v>21</v>
      </c>
      <c r="D23" s="16" t="s">
        <v>42</v>
      </c>
      <c r="E23" s="16">
        <v>2</v>
      </c>
      <c r="F23" s="16">
        <v>22.99</v>
      </c>
      <c r="G23" s="16">
        <v>45.98</v>
      </c>
      <c r="H23" s="16" t="s">
        <v>11</v>
      </c>
      <c r="I23" s="17" t="s">
        <v>12</v>
      </c>
      <c r="J23" s="16">
        <f>(Table1[[#This Row],[Total Revenue]] * 0.18) + Table1[[#This Row],[Total Revenue]]</f>
        <v>54.256399999999999</v>
      </c>
    </row>
    <row r="24" spans="1:10" x14ac:dyDescent="0.35">
      <c r="A24" s="13">
        <v>10023</v>
      </c>
      <c r="B24" s="12">
        <v>45314</v>
      </c>
      <c r="C24" s="13" t="s">
        <v>23</v>
      </c>
      <c r="D24" s="13" t="s">
        <v>43</v>
      </c>
      <c r="E24" s="13">
        <v>1</v>
      </c>
      <c r="F24" s="13">
        <v>49.99</v>
      </c>
      <c r="G24" s="13">
        <v>49.99</v>
      </c>
      <c r="H24" s="13" t="s">
        <v>15</v>
      </c>
      <c r="I24" s="14" t="s">
        <v>16</v>
      </c>
      <c r="J24" s="13">
        <f>(Table1[[#This Row],[Total Revenue]] * 0.18) + Table1[[#This Row],[Total Revenue]]</f>
        <v>58.988200000000006</v>
      </c>
    </row>
    <row r="25" spans="1:10" x14ac:dyDescent="0.35">
      <c r="A25" s="16">
        <v>10024</v>
      </c>
      <c r="B25" s="15">
        <v>45315</v>
      </c>
      <c r="C25" s="16" t="s">
        <v>25</v>
      </c>
      <c r="D25" s="16" t="s">
        <v>44</v>
      </c>
      <c r="E25" s="16">
        <v>3</v>
      </c>
      <c r="F25" s="16">
        <v>29.99</v>
      </c>
      <c r="G25" s="16">
        <v>89.97</v>
      </c>
      <c r="H25" s="16" t="s">
        <v>19</v>
      </c>
      <c r="I25" s="17" t="s">
        <v>12</v>
      </c>
      <c r="J25" s="16">
        <f>(Table1[[#This Row],[Total Revenue]] * 0.18) + Table1[[#This Row],[Total Revenue]]</f>
        <v>106.16459999999999</v>
      </c>
    </row>
    <row r="26" spans="1:10" x14ac:dyDescent="0.35">
      <c r="A26" s="13">
        <v>10025</v>
      </c>
      <c r="B26" s="12">
        <v>45316</v>
      </c>
      <c r="C26" s="13" t="s">
        <v>9</v>
      </c>
      <c r="D26" s="13" t="s">
        <v>45</v>
      </c>
      <c r="E26" s="13">
        <v>1</v>
      </c>
      <c r="F26" s="13">
        <v>299.99</v>
      </c>
      <c r="G26" s="13">
        <v>299.99</v>
      </c>
      <c r="H26" s="13" t="s">
        <v>11</v>
      </c>
      <c r="I26" s="14" t="s">
        <v>12</v>
      </c>
      <c r="J26" s="13">
        <f>(Table1[[#This Row],[Total Revenue]] * 0.18) + Table1[[#This Row],[Total Revenue]]</f>
        <v>353.98820000000001</v>
      </c>
    </row>
    <row r="27" spans="1:10" x14ac:dyDescent="0.35">
      <c r="A27" s="16">
        <v>10026</v>
      </c>
      <c r="B27" s="15">
        <v>45317</v>
      </c>
      <c r="C27" s="16" t="s">
        <v>13</v>
      </c>
      <c r="D27" s="16" t="s">
        <v>46</v>
      </c>
      <c r="E27" s="16">
        <v>1</v>
      </c>
      <c r="F27" s="16">
        <v>179.99</v>
      </c>
      <c r="G27" s="16">
        <v>179.99</v>
      </c>
      <c r="H27" s="16" t="s">
        <v>15</v>
      </c>
      <c r="I27" s="17" t="s">
        <v>16</v>
      </c>
      <c r="J27" s="16">
        <f>(Table1[[#This Row],[Total Revenue]] * 0.18) + Table1[[#This Row],[Total Revenue]]</f>
        <v>212.38820000000001</v>
      </c>
    </row>
    <row r="28" spans="1:10" x14ac:dyDescent="0.35">
      <c r="A28" s="13">
        <v>10027</v>
      </c>
      <c r="B28" s="12">
        <v>45318</v>
      </c>
      <c r="C28" s="13" t="s">
        <v>17</v>
      </c>
      <c r="D28" s="13" t="s">
        <v>47</v>
      </c>
      <c r="E28" s="13">
        <v>2</v>
      </c>
      <c r="F28" s="13">
        <v>179.99</v>
      </c>
      <c r="G28" s="13">
        <v>359.98</v>
      </c>
      <c r="H28" s="13" t="s">
        <v>19</v>
      </c>
      <c r="I28" s="14" t="s">
        <v>20</v>
      </c>
      <c r="J28" s="13">
        <f>(Table1[[#This Row],[Total Revenue]] * 0.18) + Table1[[#This Row],[Total Revenue]]</f>
        <v>424.77640000000002</v>
      </c>
    </row>
    <row r="29" spans="1:10" x14ac:dyDescent="0.35">
      <c r="A29" s="16">
        <v>10028</v>
      </c>
      <c r="B29" s="15">
        <v>45319</v>
      </c>
      <c r="C29" s="16" t="s">
        <v>21</v>
      </c>
      <c r="D29" s="16" t="s">
        <v>48</v>
      </c>
      <c r="E29" s="16">
        <v>3</v>
      </c>
      <c r="F29" s="16">
        <v>12.99</v>
      </c>
      <c r="G29" s="16">
        <v>38.97</v>
      </c>
      <c r="H29" s="16" t="s">
        <v>11</v>
      </c>
      <c r="I29" s="17" t="s">
        <v>12</v>
      </c>
      <c r="J29" s="16">
        <f>(Table1[[#This Row],[Total Revenue]] * 0.18) + Table1[[#This Row],[Total Revenue]]</f>
        <v>45.9846</v>
      </c>
    </row>
    <row r="30" spans="1:10" x14ac:dyDescent="0.35">
      <c r="A30" s="13">
        <v>10029</v>
      </c>
      <c r="B30" s="12">
        <v>45320</v>
      </c>
      <c r="C30" s="13" t="s">
        <v>23</v>
      </c>
      <c r="D30" s="13" t="s">
        <v>49</v>
      </c>
      <c r="E30" s="13">
        <v>1</v>
      </c>
      <c r="F30" s="13">
        <v>29.99</v>
      </c>
      <c r="G30" s="13">
        <v>29.99</v>
      </c>
      <c r="H30" s="13" t="s">
        <v>15</v>
      </c>
      <c r="I30" s="14" t="s">
        <v>16</v>
      </c>
      <c r="J30" s="13">
        <f>(Table1[[#This Row],[Total Revenue]] * 0.18) + Table1[[#This Row],[Total Revenue]]</f>
        <v>35.388199999999998</v>
      </c>
    </row>
    <row r="31" spans="1:10" x14ac:dyDescent="0.35">
      <c r="A31" s="16">
        <v>10030</v>
      </c>
      <c r="B31" s="15">
        <v>45321</v>
      </c>
      <c r="C31" s="16" t="s">
        <v>25</v>
      </c>
      <c r="D31" s="16" t="s">
        <v>50</v>
      </c>
      <c r="E31" s="16">
        <v>2</v>
      </c>
      <c r="F31" s="16">
        <v>129.99</v>
      </c>
      <c r="G31" s="16">
        <v>259.98</v>
      </c>
      <c r="H31" s="16" t="s">
        <v>19</v>
      </c>
      <c r="I31" s="17" t="s">
        <v>12</v>
      </c>
      <c r="J31" s="16">
        <f>(Table1[[#This Row],[Total Revenue]] * 0.18) + Table1[[#This Row],[Total Revenue]]</f>
        <v>306.77640000000002</v>
      </c>
    </row>
    <row r="32" spans="1:10" x14ac:dyDescent="0.35">
      <c r="A32" s="13">
        <v>10031</v>
      </c>
      <c r="B32" s="12">
        <v>45322</v>
      </c>
      <c r="C32" s="13" t="s">
        <v>9</v>
      </c>
      <c r="D32" s="13" t="s">
        <v>51</v>
      </c>
      <c r="E32" s="13">
        <v>2</v>
      </c>
      <c r="F32" s="13">
        <v>349.99</v>
      </c>
      <c r="G32" s="13">
        <v>699.98</v>
      </c>
      <c r="H32" s="13" t="s">
        <v>11</v>
      </c>
      <c r="I32" s="14" t="s">
        <v>12</v>
      </c>
      <c r="J32" s="13">
        <f>(Table1[[#This Row],[Total Revenue]] * 0.18) + Table1[[#This Row],[Total Revenue]]</f>
        <v>825.97640000000001</v>
      </c>
    </row>
    <row r="33" spans="1:10" x14ac:dyDescent="0.35">
      <c r="A33" s="16">
        <v>10032</v>
      </c>
      <c r="B33" s="15">
        <v>45323</v>
      </c>
      <c r="C33" s="16" t="s">
        <v>13</v>
      </c>
      <c r="D33" s="16" t="s">
        <v>52</v>
      </c>
      <c r="E33" s="16">
        <v>3</v>
      </c>
      <c r="F33" s="16">
        <v>89.99</v>
      </c>
      <c r="G33" s="16">
        <v>269.97000000000003</v>
      </c>
      <c r="H33" s="16" t="s">
        <v>15</v>
      </c>
      <c r="I33" s="17" t="s">
        <v>16</v>
      </c>
      <c r="J33" s="16">
        <f>(Table1[[#This Row],[Total Revenue]] * 0.18) + Table1[[#This Row],[Total Revenue]]</f>
        <v>318.56460000000004</v>
      </c>
    </row>
    <row r="34" spans="1:10" x14ac:dyDescent="0.35">
      <c r="A34" s="13">
        <v>10033</v>
      </c>
      <c r="B34" s="12">
        <v>45324</v>
      </c>
      <c r="C34" s="13" t="s">
        <v>17</v>
      </c>
      <c r="D34" s="13" t="s">
        <v>53</v>
      </c>
      <c r="E34" s="13">
        <v>5</v>
      </c>
      <c r="F34" s="13">
        <v>29.99</v>
      </c>
      <c r="G34" s="13">
        <v>149.94999999999999</v>
      </c>
      <c r="H34" s="13" t="s">
        <v>19</v>
      </c>
      <c r="I34" s="14" t="s">
        <v>20</v>
      </c>
      <c r="J34" s="13">
        <f>(Table1[[#This Row],[Total Revenue]] * 0.18) + Table1[[#This Row],[Total Revenue]]</f>
        <v>176.94099999999997</v>
      </c>
    </row>
    <row r="35" spans="1:10" x14ac:dyDescent="0.35">
      <c r="A35" s="16">
        <v>10034</v>
      </c>
      <c r="B35" s="15">
        <v>45325</v>
      </c>
      <c r="C35" s="16" t="s">
        <v>21</v>
      </c>
      <c r="D35" s="16" t="s">
        <v>54</v>
      </c>
      <c r="E35" s="16">
        <v>4</v>
      </c>
      <c r="F35" s="16">
        <v>19.989999999999998</v>
      </c>
      <c r="G35" s="16">
        <v>79.959999999999994</v>
      </c>
      <c r="H35" s="16" t="s">
        <v>11</v>
      </c>
      <c r="I35" s="17" t="s">
        <v>12</v>
      </c>
      <c r="J35" s="16">
        <f>(Table1[[#This Row],[Total Revenue]] * 0.18) + Table1[[#This Row],[Total Revenue]]</f>
        <v>94.352799999999988</v>
      </c>
    </row>
    <row r="36" spans="1:10" x14ac:dyDescent="0.35">
      <c r="A36" s="13">
        <v>10035</v>
      </c>
      <c r="B36" s="12">
        <v>45326</v>
      </c>
      <c r="C36" s="13" t="s">
        <v>23</v>
      </c>
      <c r="D36" s="13" t="s">
        <v>55</v>
      </c>
      <c r="E36" s="13">
        <v>2</v>
      </c>
      <c r="F36" s="13">
        <v>39.99</v>
      </c>
      <c r="G36" s="13">
        <v>79.98</v>
      </c>
      <c r="H36" s="13" t="s">
        <v>15</v>
      </c>
      <c r="I36" s="14" t="s">
        <v>16</v>
      </c>
      <c r="J36" s="13">
        <f>(Table1[[#This Row],[Total Revenue]] * 0.18) + Table1[[#This Row],[Total Revenue]]</f>
        <v>94.376400000000004</v>
      </c>
    </row>
    <row r="37" spans="1:10" x14ac:dyDescent="0.35">
      <c r="A37" s="16">
        <v>10036</v>
      </c>
      <c r="B37" s="15">
        <v>45327</v>
      </c>
      <c r="C37" s="16" t="s">
        <v>25</v>
      </c>
      <c r="D37" s="16" t="s">
        <v>56</v>
      </c>
      <c r="E37" s="16">
        <v>1</v>
      </c>
      <c r="F37" s="16">
        <v>1895</v>
      </c>
      <c r="G37" s="16">
        <v>1895</v>
      </c>
      <c r="H37" s="16" t="s">
        <v>19</v>
      </c>
      <c r="I37" s="17" t="s">
        <v>12</v>
      </c>
      <c r="J37" s="16">
        <f>(Table1[[#This Row],[Total Revenue]] * 0.18) + Table1[[#This Row],[Total Revenue]]</f>
        <v>2236.1</v>
      </c>
    </row>
    <row r="38" spans="1:10" x14ac:dyDescent="0.35">
      <c r="A38" s="13">
        <v>10037</v>
      </c>
      <c r="B38" s="12">
        <v>45328</v>
      </c>
      <c r="C38" s="13" t="s">
        <v>9</v>
      </c>
      <c r="D38" s="13" t="s">
        <v>57</v>
      </c>
      <c r="E38" s="13">
        <v>3</v>
      </c>
      <c r="F38" s="13">
        <v>399.99</v>
      </c>
      <c r="G38" s="13">
        <v>1199.97</v>
      </c>
      <c r="H38" s="13" t="s">
        <v>11</v>
      </c>
      <c r="I38" s="14" t="s">
        <v>12</v>
      </c>
      <c r="J38" s="13">
        <f>(Table1[[#This Row],[Total Revenue]] * 0.18) + Table1[[#This Row],[Total Revenue]]</f>
        <v>1415.9646</v>
      </c>
    </row>
    <row r="39" spans="1:10" x14ac:dyDescent="0.35">
      <c r="A39" s="16">
        <v>10038</v>
      </c>
      <c r="B39" s="15">
        <v>45329</v>
      </c>
      <c r="C39" s="16" t="s">
        <v>13</v>
      </c>
      <c r="D39" s="16" t="s">
        <v>58</v>
      </c>
      <c r="E39" s="16">
        <v>2</v>
      </c>
      <c r="F39" s="16">
        <v>799.99</v>
      </c>
      <c r="G39" s="16">
        <v>1599.98</v>
      </c>
      <c r="H39" s="16" t="s">
        <v>15</v>
      </c>
      <c r="I39" s="17" t="s">
        <v>16</v>
      </c>
      <c r="J39" s="16">
        <f>(Table1[[#This Row],[Total Revenue]] * 0.18) + Table1[[#This Row],[Total Revenue]]</f>
        <v>1887.9764</v>
      </c>
    </row>
    <row r="40" spans="1:10" x14ac:dyDescent="0.35">
      <c r="A40" s="13">
        <v>10039</v>
      </c>
      <c r="B40" s="12">
        <v>45330</v>
      </c>
      <c r="C40" s="13" t="s">
        <v>17</v>
      </c>
      <c r="D40" s="13" t="s">
        <v>59</v>
      </c>
      <c r="E40" s="13">
        <v>4</v>
      </c>
      <c r="F40" s="13">
        <v>59.99</v>
      </c>
      <c r="G40" s="13">
        <v>239.96</v>
      </c>
      <c r="H40" s="13" t="s">
        <v>19</v>
      </c>
      <c r="I40" s="14" t="s">
        <v>20</v>
      </c>
      <c r="J40" s="13">
        <f>(Table1[[#This Row],[Total Revenue]] * 0.18) + Table1[[#This Row],[Total Revenue]]</f>
        <v>283.15280000000001</v>
      </c>
    </row>
    <row r="41" spans="1:10" x14ac:dyDescent="0.35">
      <c r="A41" s="16">
        <v>10040</v>
      </c>
      <c r="B41" s="15">
        <v>45331</v>
      </c>
      <c r="C41" s="16" t="s">
        <v>21</v>
      </c>
      <c r="D41" s="16" t="s">
        <v>60</v>
      </c>
      <c r="E41" s="16">
        <v>3</v>
      </c>
      <c r="F41" s="16">
        <v>24.99</v>
      </c>
      <c r="G41" s="16">
        <v>74.97</v>
      </c>
      <c r="H41" s="16" t="s">
        <v>11</v>
      </c>
      <c r="I41" s="17" t="s">
        <v>12</v>
      </c>
      <c r="J41" s="16">
        <f>(Table1[[#This Row],[Total Revenue]] * 0.18) + Table1[[#This Row],[Total Revenue]]</f>
        <v>88.464600000000004</v>
      </c>
    </row>
    <row r="42" spans="1:10" x14ac:dyDescent="0.35">
      <c r="A42" s="13">
        <v>10041</v>
      </c>
      <c r="B42" s="12">
        <v>45332</v>
      </c>
      <c r="C42" s="13" t="s">
        <v>23</v>
      </c>
      <c r="D42" s="13" t="s">
        <v>61</v>
      </c>
      <c r="E42" s="13">
        <v>1</v>
      </c>
      <c r="F42" s="13">
        <v>105</v>
      </c>
      <c r="G42" s="13">
        <v>105</v>
      </c>
      <c r="H42" s="13" t="s">
        <v>15</v>
      </c>
      <c r="I42" s="14" t="s">
        <v>16</v>
      </c>
      <c r="J42" s="13">
        <f>(Table1[[#This Row],[Total Revenue]] * 0.18) + Table1[[#This Row],[Total Revenue]]</f>
        <v>123.9</v>
      </c>
    </row>
    <row r="43" spans="1:10" x14ac:dyDescent="0.35">
      <c r="A43" s="16">
        <v>10042</v>
      </c>
      <c r="B43" s="15">
        <v>45333</v>
      </c>
      <c r="C43" s="16" t="s">
        <v>25</v>
      </c>
      <c r="D43" s="16" t="s">
        <v>62</v>
      </c>
      <c r="E43" s="16">
        <v>2</v>
      </c>
      <c r="F43" s="16">
        <v>129.99</v>
      </c>
      <c r="G43" s="16">
        <v>259.98</v>
      </c>
      <c r="H43" s="16" t="s">
        <v>19</v>
      </c>
      <c r="I43" s="17" t="s">
        <v>12</v>
      </c>
      <c r="J43" s="16">
        <f>(Table1[[#This Row],[Total Revenue]] * 0.18) + Table1[[#This Row],[Total Revenue]]</f>
        <v>306.77640000000002</v>
      </c>
    </row>
    <row r="44" spans="1:10" x14ac:dyDescent="0.35">
      <c r="A44" s="13">
        <v>10043</v>
      </c>
      <c r="B44" s="12">
        <v>45334</v>
      </c>
      <c r="C44" s="13" t="s">
        <v>9</v>
      </c>
      <c r="D44" s="13" t="s">
        <v>63</v>
      </c>
      <c r="E44" s="13">
        <v>3</v>
      </c>
      <c r="F44" s="13">
        <v>399.99</v>
      </c>
      <c r="G44" s="13">
        <v>1199.97</v>
      </c>
      <c r="H44" s="13" t="s">
        <v>11</v>
      </c>
      <c r="I44" s="14" t="s">
        <v>12</v>
      </c>
      <c r="J44" s="13">
        <f>(Table1[[#This Row],[Total Revenue]] * 0.18) + Table1[[#This Row],[Total Revenue]]</f>
        <v>1415.9646</v>
      </c>
    </row>
    <row r="45" spans="1:10" x14ac:dyDescent="0.35">
      <c r="A45" s="16">
        <v>10044</v>
      </c>
      <c r="B45" s="15">
        <v>45335</v>
      </c>
      <c r="C45" s="16" t="s">
        <v>13</v>
      </c>
      <c r="D45" s="16" t="s">
        <v>64</v>
      </c>
      <c r="E45" s="16">
        <v>1</v>
      </c>
      <c r="F45" s="16">
        <v>199.99</v>
      </c>
      <c r="G45" s="16">
        <v>199.99</v>
      </c>
      <c r="H45" s="16" t="s">
        <v>15</v>
      </c>
      <c r="I45" s="17" t="s">
        <v>16</v>
      </c>
      <c r="J45" s="16">
        <f>(Table1[[#This Row],[Total Revenue]] * 0.18) + Table1[[#This Row],[Total Revenue]]</f>
        <v>235.98820000000001</v>
      </c>
    </row>
    <row r="46" spans="1:10" x14ac:dyDescent="0.35">
      <c r="A46" s="13">
        <v>10045</v>
      </c>
      <c r="B46" s="12">
        <v>45336</v>
      </c>
      <c r="C46" s="13" t="s">
        <v>17</v>
      </c>
      <c r="D46" s="13" t="s">
        <v>65</v>
      </c>
      <c r="E46" s="13">
        <v>2</v>
      </c>
      <c r="F46" s="13">
        <v>139.99</v>
      </c>
      <c r="G46" s="13">
        <v>279.98</v>
      </c>
      <c r="H46" s="13" t="s">
        <v>19</v>
      </c>
      <c r="I46" s="14" t="s">
        <v>20</v>
      </c>
      <c r="J46" s="13">
        <f>(Table1[[#This Row],[Total Revenue]] * 0.18) + Table1[[#This Row],[Total Revenue]]</f>
        <v>330.37639999999999</v>
      </c>
    </row>
    <row r="47" spans="1:10" x14ac:dyDescent="0.35">
      <c r="A47" s="16">
        <v>10046</v>
      </c>
      <c r="B47" s="15">
        <v>45337</v>
      </c>
      <c r="C47" s="16" t="s">
        <v>21</v>
      </c>
      <c r="D47" s="16" t="s">
        <v>66</v>
      </c>
      <c r="E47" s="16">
        <v>4</v>
      </c>
      <c r="F47" s="16">
        <v>32.5</v>
      </c>
      <c r="G47" s="16">
        <v>130</v>
      </c>
      <c r="H47" s="16" t="s">
        <v>11</v>
      </c>
      <c r="I47" s="17" t="s">
        <v>12</v>
      </c>
      <c r="J47" s="16">
        <f>(Table1[[#This Row],[Total Revenue]] * 0.18) + Table1[[#This Row],[Total Revenue]]</f>
        <v>153.4</v>
      </c>
    </row>
    <row r="48" spans="1:10" x14ac:dyDescent="0.35">
      <c r="A48" s="13">
        <v>10047</v>
      </c>
      <c r="B48" s="12">
        <v>45338</v>
      </c>
      <c r="C48" s="13" t="s">
        <v>23</v>
      </c>
      <c r="D48" s="13" t="s">
        <v>67</v>
      </c>
      <c r="E48" s="13">
        <v>1</v>
      </c>
      <c r="F48" s="13">
        <v>52</v>
      </c>
      <c r="G48" s="13">
        <v>52</v>
      </c>
      <c r="H48" s="13" t="s">
        <v>15</v>
      </c>
      <c r="I48" s="14" t="s">
        <v>16</v>
      </c>
      <c r="J48" s="13">
        <f>(Table1[[#This Row],[Total Revenue]] * 0.18) + Table1[[#This Row],[Total Revenue]]</f>
        <v>61.36</v>
      </c>
    </row>
    <row r="49" spans="1:10" x14ac:dyDescent="0.35">
      <c r="A49" s="16">
        <v>10048</v>
      </c>
      <c r="B49" s="15">
        <v>45339</v>
      </c>
      <c r="C49" s="16" t="s">
        <v>25</v>
      </c>
      <c r="D49" s="16" t="s">
        <v>68</v>
      </c>
      <c r="E49" s="16">
        <v>6</v>
      </c>
      <c r="F49" s="16">
        <v>39.99</v>
      </c>
      <c r="G49" s="16">
        <v>239.94</v>
      </c>
      <c r="H49" s="16" t="s">
        <v>19</v>
      </c>
      <c r="I49" s="17" t="s">
        <v>12</v>
      </c>
      <c r="J49" s="16">
        <f>(Table1[[#This Row],[Total Revenue]] * 0.18) + Table1[[#This Row],[Total Revenue]]</f>
        <v>283.12919999999997</v>
      </c>
    </row>
    <row r="50" spans="1:10" x14ac:dyDescent="0.35">
      <c r="A50" s="13">
        <v>10049</v>
      </c>
      <c r="B50" s="12">
        <v>45340</v>
      </c>
      <c r="C50" s="13" t="s">
        <v>9</v>
      </c>
      <c r="D50" s="13" t="s">
        <v>69</v>
      </c>
      <c r="E50" s="13">
        <v>2</v>
      </c>
      <c r="F50" s="13">
        <v>129.99</v>
      </c>
      <c r="G50" s="13">
        <v>259.98</v>
      </c>
      <c r="H50" s="13" t="s">
        <v>11</v>
      </c>
      <c r="I50" s="14" t="s">
        <v>12</v>
      </c>
      <c r="J50" s="13">
        <f>(Table1[[#This Row],[Total Revenue]] * 0.18) + Table1[[#This Row],[Total Revenue]]</f>
        <v>306.77640000000002</v>
      </c>
    </row>
    <row r="51" spans="1:10" x14ac:dyDescent="0.35">
      <c r="A51" s="16">
        <v>10050</v>
      </c>
      <c r="B51" s="15">
        <v>45341</v>
      </c>
      <c r="C51" s="16" t="s">
        <v>13</v>
      </c>
      <c r="D51" s="16" t="s">
        <v>70</v>
      </c>
      <c r="E51" s="16">
        <v>1</v>
      </c>
      <c r="F51" s="16">
        <v>299.99</v>
      </c>
      <c r="G51" s="16">
        <v>299.99</v>
      </c>
      <c r="H51" s="16" t="s">
        <v>15</v>
      </c>
      <c r="I51" s="17" t="s">
        <v>16</v>
      </c>
      <c r="J51" s="16">
        <f>(Table1[[#This Row],[Total Revenue]] * 0.18) + Table1[[#This Row],[Total Revenue]]</f>
        <v>353.98820000000001</v>
      </c>
    </row>
    <row r="52" spans="1:10" x14ac:dyDescent="0.35">
      <c r="A52" s="13">
        <v>10051</v>
      </c>
      <c r="B52" s="12">
        <v>45342</v>
      </c>
      <c r="C52" s="13" t="s">
        <v>17</v>
      </c>
      <c r="D52" s="13" t="s">
        <v>71</v>
      </c>
      <c r="E52" s="13">
        <v>3</v>
      </c>
      <c r="F52" s="13">
        <v>154.99</v>
      </c>
      <c r="G52" s="13">
        <v>464.97</v>
      </c>
      <c r="H52" s="13" t="s">
        <v>19</v>
      </c>
      <c r="I52" s="14" t="s">
        <v>20</v>
      </c>
      <c r="J52" s="13">
        <f>(Table1[[#This Row],[Total Revenue]] * 0.18) + Table1[[#This Row],[Total Revenue]]</f>
        <v>548.66460000000006</v>
      </c>
    </row>
    <row r="53" spans="1:10" x14ac:dyDescent="0.35">
      <c r="A53" s="16">
        <v>10052</v>
      </c>
      <c r="B53" s="15">
        <v>45343</v>
      </c>
      <c r="C53" s="16" t="s">
        <v>21</v>
      </c>
      <c r="D53" s="16" t="s">
        <v>72</v>
      </c>
      <c r="E53" s="16">
        <v>2</v>
      </c>
      <c r="F53" s="16">
        <v>26.99</v>
      </c>
      <c r="G53" s="16">
        <v>53.98</v>
      </c>
      <c r="H53" s="16" t="s">
        <v>11</v>
      </c>
      <c r="I53" s="17" t="s">
        <v>12</v>
      </c>
      <c r="J53" s="16">
        <f>(Table1[[#This Row],[Total Revenue]] * 0.18) + Table1[[#This Row],[Total Revenue]]</f>
        <v>63.696399999999997</v>
      </c>
    </row>
    <row r="54" spans="1:10" x14ac:dyDescent="0.35">
      <c r="A54" s="13">
        <v>10053</v>
      </c>
      <c r="B54" s="12">
        <v>45344</v>
      </c>
      <c r="C54" s="13" t="s">
        <v>23</v>
      </c>
      <c r="D54" s="13" t="s">
        <v>73</v>
      </c>
      <c r="E54" s="13">
        <v>1</v>
      </c>
      <c r="F54" s="13">
        <v>49</v>
      </c>
      <c r="G54" s="13">
        <v>49</v>
      </c>
      <c r="H54" s="13" t="s">
        <v>15</v>
      </c>
      <c r="I54" s="14" t="s">
        <v>16</v>
      </c>
      <c r="J54" s="13">
        <f>(Table1[[#This Row],[Total Revenue]] * 0.18) + Table1[[#This Row],[Total Revenue]]</f>
        <v>57.82</v>
      </c>
    </row>
    <row r="55" spans="1:10" x14ac:dyDescent="0.35">
      <c r="A55" s="16">
        <v>10054</v>
      </c>
      <c r="B55" s="15">
        <v>45345</v>
      </c>
      <c r="C55" s="16" t="s">
        <v>25</v>
      </c>
      <c r="D55" s="16" t="s">
        <v>74</v>
      </c>
      <c r="E55" s="16">
        <v>5</v>
      </c>
      <c r="F55" s="16">
        <v>49.99</v>
      </c>
      <c r="G55" s="16">
        <v>249.95</v>
      </c>
      <c r="H55" s="16" t="s">
        <v>19</v>
      </c>
      <c r="I55" s="17" t="s">
        <v>12</v>
      </c>
      <c r="J55" s="16">
        <f>(Table1[[#This Row],[Total Revenue]] * 0.18) + Table1[[#This Row],[Total Revenue]]</f>
        <v>294.94099999999997</v>
      </c>
    </row>
    <row r="56" spans="1:10" x14ac:dyDescent="0.35">
      <c r="A56" s="13">
        <v>10055</v>
      </c>
      <c r="B56" s="12">
        <v>45346</v>
      </c>
      <c r="C56" s="13" t="s">
        <v>9</v>
      </c>
      <c r="D56" s="13" t="s">
        <v>75</v>
      </c>
      <c r="E56" s="13">
        <v>4</v>
      </c>
      <c r="F56" s="13">
        <v>59.99</v>
      </c>
      <c r="G56" s="13">
        <v>239.96</v>
      </c>
      <c r="H56" s="13" t="s">
        <v>11</v>
      </c>
      <c r="I56" s="14" t="s">
        <v>12</v>
      </c>
      <c r="J56" s="13">
        <f>(Table1[[#This Row],[Total Revenue]] * 0.18) + Table1[[#This Row],[Total Revenue]]</f>
        <v>283.15280000000001</v>
      </c>
    </row>
    <row r="57" spans="1:10" x14ac:dyDescent="0.35">
      <c r="A57" s="16">
        <v>10056</v>
      </c>
      <c r="B57" s="15">
        <v>45347</v>
      </c>
      <c r="C57" s="16" t="s">
        <v>13</v>
      </c>
      <c r="D57" s="16" t="s">
        <v>76</v>
      </c>
      <c r="E57" s="16">
        <v>1</v>
      </c>
      <c r="F57" s="16">
        <v>499.99</v>
      </c>
      <c r="G57" s="16">
        <v>499.99</v>
      </c>
      <c r="H57" s="16" t="s">
        <v>15</v>
      </c>
      <c r="I57" s="17" t="s">
        <v>16</v>
      </c>
      <c r="J57" s="16">
        <f>(Table1[[#This Row],[Total Revenue]] * 0.18) + Table1[[#This Row],[Total Revenue]]</f>
        <v>589.98820000000001</v>
      </c>
    </row>
    <row r="58" spans="1:10" x14ac:dyDescent="0.35">
      <c r="A58" s="13">
        <v>10057</v>
      </c>
      <c r="B58" s="12">
        <v>45348</v>
      </c>
      <c r="C58" s="13" t="s">
        <v>17</v>
      </c>
      <c r="D58" s="13" t="s">
        <v>77</v>
      </c>
      <c r="E58" s="13">
        <v>5</v>
      </c>
      <c r="F58" s="13">
        <v>29.99</v>
      </c>
      <c r="G58" s="13">
        <v>149.94999999999999</v>
      </c>
      <c r="H58" s="13" t="s">
        <v>19</v>
      </c>
      <c r="I58" s="14" t="s">
        <v>20</v>
      </c>
      <c r="J58" s="13">
        <f>(Table1[[#This Row],[Total Revenue]] * 0.18) + Table1[[#This Row],[Total Revenue]]</f>
        <v>176.94099999999997</v>
      </c>
    </row>
    <row r="59" spans="1:10" x14ac:dyDescent="0.35">
      <c r="A59" s="16">
        <v>10058</v>
      </c>
      <c r="B59" s="15">
        <v>45349</v>
      </c>
      <c r="C59" s="16" t="s">
        <v>21</v>
      </c>
      <c r="D59" s="16" t="s">
        <v>78</v>
      </c>
      <c r="E59" s="16">
        <v>3</v>
      </c>
      <c r="F59" s="16">
        <v>28</v>
      </c>
      <c r="G59" s="16">
        <v>84</v>
      </c>
      <c r="H59" s="16" t="s">
        <v>11</v>
      </c>
      <c r="I59" s="17" t="s">
        <v>12</v>
      </c>
      <c r="J59" s="16">
        <f>(Table1[[#This Row],[Total Revenue]] * 0.18) + Table1[[#This Row],[Total Revenue]]</f>
        <v>99.12</v>
      </c>
    </row>
    <row r="60" spans="1:10" x14ac:dyDescent="0.35">
      <c r="A60" s="13">
        <v>10059</v>
      </c>
      <c r="B60" s="12">
        <v>45350</v>
      </c>
      <c r="C60" s="13" t="s">
        <v>23</v>
      </c>
      <c r="D60" s="13" t="s">
        <v>79</v>
      </c>
      <c r="E60" s="13">
        <v>2</v>
      </c>
      <c r="F60" s="13">
        <v>23</v>
      </c>
      <c r="G60" s="13">
        <v>46</v>
      </c>
      <c r="H60" s="13" t="s">
        <v>15</v>
      </c>
      <c r="I60" s="14" t="s">
        <v>16</v>
      </c>
      <c r="J60" s="13">
        <f>(Table1[[#This Row],[Total Revenue]] * 0.18) + Table1[[#This Row],[Total Revenue]]</f>
        <v>54.28</v>
      </c>
    </row>
    <row r="61" spans="1:10" x14ac:dyDescent="0.35">
      <c r="A61" s="16">
        <v>10060</v>
      </c>
      <c r="B61" s="15">
        <v>45351</v>
      </c>
      <c r="C61" s="16" t="s">
        <v>25</v>
      </c>
      <c r="D61" s="16" t="s">
        <v>80</v>
      </c>
      <c r="E61" s="16">
        <v>1</v>
      </c>
      <c r="F61" s="16">
        <v>349</v>
      </c>
      <c r="G61" s="16">
        <v>349</v>
      </c>
      <c r="H61" s="16" t="s">
        <v>19</v>
      </c>
      <c r="I61" s="17" t="s">
        <v>12</v>
      </c>
      <c r="J61" s="16">
        <f>(Table1[[#This Row],[Total Revenue]] * 0.18) + Table1[[#This Row],[Total Revenue]]</f>
        <v>411.82</v>
      </c>
    </row>
    <row r="62" spans="1:10" x14ac:dyDescent="0.35">
      <c r="A62" s="13">
        <v>10061</v>
      </c>
      <c r="B62" s="12">
        <v>45352</v>
      </c>
      <c r="C62" s="13" t="s">
        <v>9</v>
      </c>
      <c r="D62" s="13" t="s">
        <v>81</v>
      </c>
      <c r="E62" s="13">
        <v>3</v>
      </c>
      <c r="F62" s="13">
        <v>299.99</v>
      </c>
      <c r="G62" s="13">
        <v>899.97</v>
      </c>
      <c r="H62" s="13" t="s">
        <v>11</v>
      </c>
      <c r="I62" s="14" t="s">
        <v>12</v>
      </c>
      <c r="J62" s="13">
        <f>(Table1[[#This Row],[Total Revenue]] * 0.18) + Table1[[#This Row],[Total Revenue]]</f>
        <v>1061.9646</v>
      </c>
    </row>
    <row r="63" spans="1:10" x14ac:dyDescent="0.35">
      <c r="A63" s="16">
        <v>10062</v>
      </c>
      <c r="B63" s="15">
        <v>45353</v>
      </c>
      <c r="C63" s="16" t="s">
        <v>13</v>
      </c>
      <c r="D63" s="16" t="s">
        <v>82</v>
      </c>
      <c r="E63" s="16">
        <v>2</v>
      </c>
      <c r="F63" s="16">
        <v>199.99</v>
      </c>
      <c r="G63" s="16">
        <v>399.98</v>
      </c>
      <c r="H63" s="16" t="s">
        <v>15</v>
      </c>
      <c r="I63" s="17" t="s">
        <v>16</v>
      </c>
      <c r="J63" s="16">
        <f>(Table1[[#This Row],[Total Revenue]] * 0.18) + Table1[[#This Row],[Total Revenue]]</f>
        <v>471.97640000000001</v>
      </c>
    </row>
    <row r="64" spans="1:10" x14ac:dyDescent="0.35">
      <c r="A64" s="13">
        <v>10063</v>
      </c>
      <c r="B64" s="12">
        <v>45354</v>
      </c>
      <c r="C64" s="13" t="s">
        <v>17</v>
      </c>
      <c r="D64" s="13" t="s">
        <v>83</v>
      </c>
      <c r="E64" s="13">
        <v>10</v>
      </c>
      <c r="F64" s="13">
        <v>9.99</v>
      </c>
      <c r="G64" s="13">
        <v>99.9</v>
      </c>
      <c r="H64" s="13" t="s">
        <v>19</v>
      </c>
      <c r="I64" s="14" t="s">
        <v>20</v>
      </c>
      <c r="J64" s="13">
        <f>(Table1[[#This Row],[Total Revenue]] * 0.18) + Table1[[#This Row],[Total Revenue]]</f>
        <v>117.88200000000001</v>
      </c>
    </row>
    <row r="65" spans="1:10" x14ac:dyDescent="0.35">
      <c r="A65" s="16">
        <v>10064</v>
      </c>
      <c r="B65" s="15">
        <v>45355</v>
      </c>
      <c r="C65" s="16" t="s">
        <v>21</v>
      </c>
      <c r="D65" s="16" t="s">
        <v>84</v>
      </c>
      <c r="E65" s="16">
        <v>4</v>
      </c>
      <c r="F65" s="16">
        <v>18.989999999999998</v>
      </c>
      <c r="G65" s="16">
        <v>75.959999999999994</v>
      </c>
      <c r="H65" s="16" t="s">
        <v>11</v>
      </c>
      <c r="I65" s="17" t="s">
        <v>12</v>
      </c>
      <c r="J65" s="16">
        <f>(Table1[[#This Row],[Total Revenue]] * 0.18) + Table1[[#This Row],[Total Revenue]]</f>
        <v>89.632799999999989</v>
      </c>
    </row>
    <row r="66" spans="1:10" x14ac:dyDescent="0.35">
      <c r="A66" s="13">
        <v>10065</v>
      </c>
      <c r="B66" s="12">
        <v>45356</v>
      </c>
      <c r="C66" s="13" t="s">
        <v>23</v>
      </c>
      <c r="D66" s="13" t="s">
        <v>85</v>
      </c>
      <c r="E66" s="13">
        <v>1</v>
      </c>
      <c r="F66" s="13">
        <v>102</v>
      </c>
      <c r="G66" s="13">
        <v>102</v>
      </c>
      <c r="H66" s="13" t="s">
        <v>15</v>
      </c>
      <c r="I66" s="14" t="s">
        <v>16</v>
      </c>
      <c r="J66" s="13">
        <f>(Table1[[#This Row],[Total Revenue]] * 0.18) + Table1[[#This Row],[Total Revenue]]</f>
        <v>120.36</v>
      </c>
    </row>
    <row r="67" spans="1:10" x14ac:dyDescent="0.35">
      <c r="A67" s="16">
        <v>10066</v>
      </c>
      <c r="B67" s="15">
        <v>45357</v>
      </c>
      <c r="C67" s="16" t="s">
        <v>25</v>
      </c>
      <c r="D67" s="16" t="s">
        <v>86</v>
      </c>
      <c r="E67" s="16">
        <v>2</v>
      </c>
      <c r="F67" s="16">
        <v>299.99</v>
      </c>
      <c r="G67" s="16">
        <v>599.98</v>
      </c>
      <c r="H67" s="16" t="s">
        <v>19</v>
      </c>
      <c r="I67" s="17" t="s">
        <v>12</v>
      </c>
      <c r="J67" s="16">
        <f>(Table1[[#This Row],[Total Revenue]] * 0.18) + Table1[[#This Row],[Total Revenue]]</f>
        <v>707.97640000000001</v>
      </c>
    </row>
    <row r="68" spans="1:10" x14ac:dyDescent="0.35">
      <c r="A68" s="13">
        <v>10067</v>
      </c>
      <c r="B68" s="12">
        <v>45358</v>
      </c>
      <c r="C68" s="13" t="s">
        <v>9</v>
      </c>
      <c r="D68" s="13" t="s">
        <v>87</v>
      </c>
      <c r="E68" s="13">
        <v>1</v>
      </c>
      <c r="F68" s="13">
        <v>1199.99</v>
      </c>
      <c r="G68" s="13">
        <v>1199.99</v>
      </c>
      <c r="H68" s="13" t="s">
        <v>11</v>
      </c>
      <c r="I68" s="14" t="s">
        <v>12</v>
      </c>
      <c r="J68" s="13">
        <f>(Table1[[#This Row],[Total Revenue]] * 0.18) + Table1[[#This Row],[Total Revenue]]</f>
        <v>1415.9882</v>
      </c>
    </row>
    <row r="69" spans="1:10" x14ac:dyDescent="0.35">
      <c r="A69" s="16">
        <v>10068</v>
      </c>
      <c r="B69" s="15">
        <v>45359</v>
      </c>
      <c r="C69" s="16" t="s">
        <v>13</v>
      </c>
      <c r="D69" s="16" t="s">
        <v>88</v>
      </c>
      <c r="E69" s="16">
        <v>3</v>
      </c>
      <c r="F69" s="16">
        <v>219.99</v>
      </c>
      <c r="G69" s="16">
        <v>659.97</v>
      </c>
      <c r="H69" s="16" t="s">
        <v>15</v>
      </c>
      <c r="I69" s="17" t="s">
        <v>16</v>
      </c>
      <c r="J69" s="16">
        <f>(Table1[[#This Row],[Total Revenue]] * 0.18) + Table1[[#This Row],[Total Revenue]]</f>
        <v>778.76459999999997</v>
      </c>
    </row>
    <row r="70" spans="1:10" x14ac:dyDescent="0.35">
      <c r="A70" s="13">
        <v>10069</v>
      </c>
      <c r="B70" s="12">
        <v>45360</v>
      </c>
      <c r="C70" s="13" t="s">
        <v>17</v>
      </c>
      <c r="D70" s="13" t="s">
        <v>89</v>
      </c>
      <c r="E70" s="13">
        <v>4</v>
      </c>
      <c r="F70" s="13">
        <v>59.99</v>
      </c>
      <c r="G70" s="13">
        <v>239.96</v>
      </c>
      <c r="H70" s="13" t="s">
        <v>19</v>
      </c>
      <c r="I70" s="14" t="s">
        <v>20</v>
      </c>
      <c r="J70" s="13">
        <f>(Table1[[#This Row],[Total Revenue]] * 0.18) + Table1[[#This Row],[Total Revenue]]</f>
        <v>283.15280000000001</v>
      </c>
    </row>
    <row r="71" spans="1:10" x14ac:dyDescent="0.35">
      <c r="A71" s="16">
        <v>10070</v>
      </c>
      <c r="B71" s="15">
        <v>45361</v>
      </c>
      <c r="C71" s="16" t="s">
        <v>21</v>
      </c>
      <c r="D71" s="16" t="s">
        <v>90</v>
      </c>
      <c r="E71" s="16">
        <v>2</v>
      </c>
      <c r="F71" s="16">
        <v>10.99</v>
      </c>
      <c r="G71" s="16">
        <v>21.98</v>
      </c>
      <c r="H71" s="16" t="s">
        <v>11</v>
      </c>
      <c r="I71" s="17" t="s">
        <v>12</v>
      </c>
      <c r="J71" s="16">
        <f>(Table1[[#This Row],[Total Revenue]] * 0.18) + Table1[[#This Row],[Total Revenue]]</f>
        <v>25.936399999999999</v>
      </c>
    </row>
    <row r="72" spans="1:10" x14ac:dyDescent="0.35">
      <c r="A72" s="13">
        <v>10071</v>
      </c>
      <c r="B72" s="12">
        <v>45362</v>
      </c>
      <c r="C72" s="13" t="s">
        <v>23</v>
      </c>
      <c r="D72" s="13" t="s">
        <v>91</v>
      </c>
      <c r="E72" s="13">
        <v>1</v>
      </c>
      <c r="F72" s="13">
        <v>78</v>
      </c>
      <c r="G72" s="13">
        <v>78</v>
      </c>
      <c r="H72" s="13" t="s">
        <v>15</v>
      </c>
      <c r="I72" s="14" t="s">
        <v>16</v>
      </c>
      <c r="J72" s="13">
        <f>(Table1[[#This Row],[Total Revenue]] * 0.18) + Table1[[#This Row],[Total Revenue]]</f>
        <v>92.039999999999992</v>
      </c>
    </row>
    <row r="73" spans="1:10" x14ac:dyDescent="0.35">
      <c r="A73" s="16">
        <v>10072</v>
      </c>
      <c r="B73" s="15">
        <v>45363</v>
      </c>
      <c r="C73" s="16" t="s">
        <v>25</v>
      </c>
      <c r="D73" s="16" t="s">
        <v>92</v>
      </c>
      <c r="E73" s="16">
        <v>3</v>
      </c>
      <c r="F73" s="16">
        <v>129.99</v>
      </c>
      <c r="G73" s="16">
        <v>389.97</v>
      </c>
      <c r="H73" s="16" t="s">
        <v>19</v>
      </c>
      <c r="I73" s="17" t="s">
        <v>12</v>
      </c>
      <c r="J73" s="16">
        <f>(Table1[[#This Row],[Total Revenue]] * 0.18) + Table1[[#This Row],[Total Revenue]]</f>
        <v>460.16460000000006</v>
      </c>
    </row>
    <row r="74" spans="1:10" x14ac:dyDescent="0.35">
      <c r="A74" s="13">
        <v>10073</v>
      </c>
      <c r="B74" s="12">
        <v>45364</v>
      </c>
      <c r="C74" s="13" t="s">
        <v>9</v>
      </c>
      <c r="D74" s="13" t="s">
        <v>93</v>
      </c>
      <c r="E74" s="13">
        <v>1</v>
      </c>
      <c r="F74" s="13">
        <v>1599.99</v>
      </c>
      <c r="G74" s="13">
        <v>1599.99</v>
      </c>
      <c r="H74" s="13" t="s">
        <v>11</v>
      </c>
      <c r="I74" s="14" t="s">
        <v>12</v>
      </c>
      <c r="J74" s="13">
        <f>(Table1[[#This Row],[Total Revenue]] * 0.18) + Table1[[#This Row],[Total Revenue]]</f>
        <v>1887.9882</v>
      </c>
    </row>
    <row r="75" spans="1:10" x14ac:dyDescent="0.35">
      <c r="A75" s="16">
        <v>10074</v>
      </c>
      <c r="B75" s="15">
        <v>45365</v>
      </c>
      <c r="C75" s="16" t="s">
        <v>13</v>
      </c>
      <c r="D75" s="16" t="s">
        <v>94</v>
      </c>
      <c r="E75" s="16">
        <v>1</v>
      </c>
      <c r="F75" s="16">
        <v>899.99</v>
      </c>
      <c r="G75" s="16">
        <v>899.99</v>
      </c>
      <c r="H75" s="16" t="s">
        <v>15</v>
      </c>
      <c r="I75" s="17" t="s">
        <v>16</v>
      </c>
      <c r="J75" s="16">
        <f>(Table1[[#This Row],[Total Revenue]] * 0.18) + Table1[[#This Row],[Total Revenue]]</f>
        <v>1061.9882</v>
      </c>
    </row>
    <row r="76" spans="1:10" x14ac:dyDescent="0.35">
      <c r="A76" s="13">
        <v>10075</v>
      </c>
      <c r="B76" s="12">
        <v>45366</v>
      </c>
      <c r="C76" s="13" t="s">
        <v>17</v>
      </c>
      <c r="D76" s="13" t="s">
        <v>95</v>
      </c>
      <c r="E76" s="13">
        <v>5</v>
      </c>
      <c r="F76" s="13">
        <v>49.99</v>
      </c>
      <c r="G76" s="13">
        <v>249.95</v>
      </c>
      <c r="H76" s="13" t="s">
        <v>19</v>
      </c>
      <c r="I76" s="14" t="s">
        <v>20</v>
      </c>
      <c r="J76" s="13">
        <f>(Table1[[#This Row],[Total Revenue]] * 0.18) + Table1[[#This Row],[Total Revenue]]</f>
        <v>294.94099999999997</v>
      </c>
    </row>
    <row r="77" spans="1:10" x14ac:dyDescent="0.35">
      <c r="A77" s="16">
        <v>10076</v>
      </c>
      <c r="B77" s="15">
        <v>45367</v>
      </c>
      <c r="C77" s="16" t="s">
        <v>21</v>
      </c>
      <c r="D77" s="16" t="s">
        <v>96</v>
      </c>
      <c r="E77" s="16">
        <v>4</v>
      </c>
      <c r="F77" s="16">
        <v>14.99</v>
      </c>
      <c r="G77" s="16">
        <v>59.96</v>
      </c>
      <c r="H77" s="16" t="s">
        <v>11</v>
      </c>
      <c r="I77" s="17" t="s">
        <v>12</v>
      </c>
      <c r="J77" s="16">
        <f>(Table1[[#This Row],[Total Revenue]] * 0.18) + Table1[[#This Row],[Total Revenue]]</f>
        <v>70.752800000000008</v>
      </c>
    </row>
    <row r="78" spans="1:10" x14ac:dyDescent="0.35">
      <c r="A78" s="13">
        <v>10077</v>
      </c>
      <c r="B78" s="12">
        <v>45368</v>
      </c>
      <c r="C78" s="13" t="s">
        <v>23</v>
      </c>
      <c r="D78" s="13" t="s">
        <v>97</v>
      </c>
      <c r="E78" s="13">
        <v>2</v>
      </c>
      <c r="F78" s="13">
        <v>16</v>
      </c>
      <c r="G78" s="13">
        <v>32</v>
      </c>
      <c r="H78" s="13" t="s">
        <v>15</v>
      </c>
      <c r="I78" s="14" t="s">
        <v>16</v>
      </c>
      <c r="J78" s="13">
        <f>(Table1[[#This Row],[Total Revenue]] * 0.18) + Table1[[#This Row],[Total Revenue]]</f>
        <v>37.76</v>
      </c>
    </row>
    <row r="79" spans="1:10" x14ac:dyDescent="0.35">
      <c r="A79" s="16">
        <v>10078</v>
      </c>
      <c r="B79" s="15">
        <v>45369</v>
      </c>
      <c r="C79" s="16" t="s">
        <v>25</v>
      </c>
      <c r="D79" s="16" t="s">
        <v>98</v>
      </c>
      <c r="E79" s="16">
        <v>3</v>
      </c>
      <c r="F79" s="16">
        <v>69.989999999999995</v>
      </c>
      <c r="G79" s="16">
        <v>209.97</v>
      </c>
      <c r="H79" s="16" t="s">
        <v>19</v>
      </c>
      <c r="I79" s="17" t="s">
        <v>12</v>
      </c>
      <c r="J79" s="16">
        <f>(Table1[[#This Row],[Total Revenue]] * 0.18) + Table1[[#This Row],[Total Revenue]]</f>
        <v>247.7646</v>
      </c>
    </row>
    <row r="80" spans="1:10" x14ac:dyDescent="0.35">
      <c r="A80" s="13">
        <v>10079</v>
      </c>
      <c r="B80" s="12">
        <v>45370</v>
      </c>
      <c r="C80" s="13" t="s">
        <v>9</v>
      </c>
      <c r="D80" s="13" t="s">
        <v>99</v>
      </c>
      <c r="E80" s="13">
        <v>2</v>
      </c>
      <c r="F80" s="13">
        <v>249.99</v>
      </c>
      <c r="G80" s="13">
        <v>499.98</v>
      </c>
      <c r="H80" s="13" t="s">
        <v>11</v>
      </c>
      <c r="I80" s="14" t="s">
        <v>12</v>
      </c>
      <c r="J80" s="13">
        <f>(Table1[[#This Row],[Total Revenue]] * 0.18) + Table1[[#This Row],[Total Revenue]]</f>
        <v>589.97640000000001</v>
      </c>
    </row>
    <row r="81" spans="1:10" x14ac:dyDescent="0.35">
      <c r="A81" s="16">
        <v>10080</v>
      </c>
      <c r="B81" s="15">
        <v>45371</v>
      </c>
      <c r="C81" s="16" t="s">
        <v>13</v>
      </c>
      <c r="D81" s="16" t="s">
        <v>100</v>
      </c>
      <c r="E81" s="16">
        <v>1</v>
      </c>
      <c r="F81" s="16">
        <v>499.99</v>
      </c>
      <c r="G81" s="16">
        <v>499.99</v>
      </c>
      <c r="H81" s="16" t="s">
        <v>15</v>
      </c>
      <c r="I81" s="17" t="s">
        <v>16</v>
      </c>
      <c r="J81" s="16">
        <f>(Table1[[#This Row],[Total Revenue]] * 0.18) + Table1[[#This Row],[Total Revenue]]</f>
        <v>589.98820000000001</v>
      </c>
    </row>
    <row r="82" spans="1:10" x14ac:dyDescent="0.35">
      <c r="A82" s="13">
        <v>10081</v>
      </c>
      <c r="B82" s="12">
        <v>45372</v>
      </c>
      <c r="C82" s="13" t="s">
        <v>17</v>
      </c>
      <c r="D82" s="13" t="s">
        <v>101</v>
      </c>
      <c r="E82" s="13">
        <v>2</v>
      </c>
      <c r="F82" s="13">
        <v>89.99</v>
      </c>
      <c r="G82" s="13">
        <v>179.98</v>
      </c>
      <c r="H82" s="13" t="s">
        <v>19</v>
      </c>
      <c r="I82" s="14" t="s">
        <v>20</v>
      </c>
      <c r="J82" s="13">
        <f>(Table1[[#This Row],[Total Revenue]] * 0.18) + Table1[[#This Row],[Total Revenue]]</f>
        <v>212.37639999999999</v>
      </c>
    </row>
    <row r="83" spans="1:10" x14ac:dyDescent="0.35">
      <c r="A83" s="16">
        <v>10082</v>
      </c>
      <c r="B83" s="15">
        <v>45373</v>
      </c>
      <c r="C83" s="16" t="s">
        <v>21</v>
      </c>
      <c r="D83" s="16" t="s">
        <v>102</v>
      </c>
      <c r="E83" s="16">
        <v>3</v>
      </c>
      <c r="F83" s="16">
        <v>12.99</v>
      </c>
      <c r="G83" s="16">
        <v>38.97</v>
      </c>
      <c r="H83" s="16" t="s">
        <v>11</v>
      </c>
      <c r="I83" s="17" t="s">
        <v>12</v>
      </c>
      <c r="J83" s="16">
        <f>(Table1[[#This Row],[Total Revenue]] * 0.18) + Table1[[#This Row],[Total Revenue]]</f>
        <v>45.9846</v>
      </c>
    </row>
    <row r="84" spans="1:10" x14ac:dyDescent="0.35">
      <c r="A84" s="13">
        <v>10083</v>
      </c>
      <c r="B84" s="12">
        <v>45374</v>
      </c>
      <c r="C84" s="13" t="s">
        <v>23</v>
      </c>
      <c r="D84" s="13" t="s">
        <v>103</v>
      </c>
      <c r="E84" s="13">
        <v>1</v>
      </c>
      <c r="F84" s="13">
        <v>100</v>
      </c>
      <c r="G84" s="13">
        <v>100</v>
      </c>
      <c r="H84" s="13" t="s">
        <v>15</v>
      </c>
      <c r="I84" s="14" t="s">
        <v>16</v>
      </c>
      <c r="J84" s="13">
        <f>(Table1[[#This Row],[Total Revenue]] * 0.18) + Table1[[#This Row],[Total Revenue]]</f>
        <v>118</v>
      </c>
    </row>
    <row r="85" spans="1:10" x14ac:dyDescent="0.35">
      <c r="A85" s="16">
        <v>10084</v>
      </c>
      <c r="B85" s="15">
        <v>45375</v>
      </c>
      <c r="C85" s="16" t="s">
        <v>25</v>
      </c>
      <c r="D85" s="16" t="s">
        <v>104</v>
      </c>
      <c r="E85" s="16">
        <v>6</v>
      </c>
      <c r="F85" s="16">
        <v>24.99</v>
      </c>
      <c r="G85" s="16">
        <v>149.94</v>
      </c>
      <c r="H85" s="16" t="s">
        <v>19</v>
      </c>
      <c r="I85" s="17" t="s">
        <v>12</v>
      </c>
      <c r="J85" s="16">
        <f>(Table1[[#This Row],[Total Revenue]] * 0.18) + Table1[[#This Row],[Total Revenue]]</f>
        <v>176.92920000000001</v>
      </c>
    </row>
    <row r="86" spans="1:10" x14ac:dyDescent="0.35">
      <c r="A86" s="13">
        <v>10085</v>
      </c>
      <c r="B86" s="12">
        <v>45376</v>
      </c>
      <c r="C86" s="13" t="s">
        <v>9</v>
      </c>
      <c r="D86" s="13" t="s">
        <v>105</v>
      </c>
      <c r="E86" s="13">
        <v>1</v>
      </c>
      <c r="F86" s="13">
        <v>99.99</v>
      </c>
      <c r="G86" s="13">
        <v>99.99</v>
      </c>
      <c r="H86" s="13" t="s">
        <v>11</v>
      </c>
      <c r="I86" s="14" t="s">
        <v>12</v>
      </c>
      <c r="J86" s="13">
        <f>(Table1[[#This Row],[Total Revenue]] * 0.18) + Table1[[#This Row],[Total Revenue]]</f>
        <v>117.98819999999999</v>
      </c>
    </row>
    <row r="87" spans="1:10" x14ac:dyDescent="0.35">
      <c r="A87" s="16">
        <v>10086</v>
      </c>
      <c r="B87" s="15">
        <v>45377</v>
      </c>
      <c r="C87" s="16" t="s">
        <v>13</v>
      </c>
      <c r="D87" s="16" t="s">
        <v>106</v>
      </c>
      <c r="E87" s="16">
        <v>2</v>
      </c>
      <c r="F87" s="16">
        <v>1299.99</v>
      </c>
      <c r="G87" s="16">
        <v>2599.98</v>
      </c>
      <c r="H87" s="16" t="s">
        <v>15</v>
      </c>
      <c r="I87" s="17" t="s">
        <v>16</v>
      </c>
      <c r="J87" s="16">
        <f>(Table1[[#This Row],[Total Revenue]] * 0.18) + Table1[[#This Row],[Total Revenue]]</f>
        <v>3067.9764</v>
      </c>
    </row>
    <row r="88" spans="1:10" x14ac:dyDescent="0.35">
      <c r="A88" s="13">
        <v>10087</v>
      </c>
      <c r="B88" s="12">
        <v>45378</v>
      </c>
      <c r="C88" s="13" t="s">
        <v>17</v>
      </c>
      <c r="D88" s="13" t="s">
        <v>107</v>
      </c>
      <c r="E88" s="13">
        <v>3</v>
      </c>
      <c r="F88" s="13">
        <v>79.989999999999995</v>
      </c>
      <c r="G88" s="13">
        <v>239.97</v>
      </c>
      <c r="H88" s="13" t="s">
        <v>19</v>
      </c>
      <c r="I88" s="14" t="s">
        <v>20</v>
      </c>
      <c r="J88" s="13">
        <f>(Table1[[#This Row],[Total Revenue]] * 0.18) + Table1[[#This Row],[Total Revenue]]</f>
        <v>283.16460000000001</v>
      </c>
    </row>
    <row r="89" spans="1:10" x14ac:dyDescent="0.35">
      <c r="A89" s="16">
        <v>10088</v>
      </c>
      <c r="B89" s="15">
        <v>45379</v>
      </c>
      <c r="C89" s="16" t="s">
        <v>21</v>
      </c>
      <c r="D89" s="16" t="s">
        <v>108</v>
      </c>
      <c r="E89" s="16">
        <v>4</v>
      </c>
      <c r="F89" s="16">
        <v>13.99</v>
      </c>
      <c r="G89" s="16">
        <v>55.96</v>
      </c>
      <c r="H89" s="16" t="s">
        <v>11</v>
      </c>
      <c r="I89" s="17" t="s">
        <v>12</v>
      </c>
      <c r="J89" s="16">
        <f>(Table1[[#This Row],[Total Revenue]] * 0.18) + Table1[[#This Row],[Total Revenue]]</f>
        <v>66.032799999999995</v>
      </c>
    </row>
    <row r="90" spans="1:10" x14ac:dyDescent="0.35">
      <c r="A90" s="13">
        <v>10089</v>
      </c>
      <c r="B90" s="12">
        <v>45380</v>
      </c>
      <c r="C90" s="13" t="s">
        <v>23</v>
      </c>
      <c r="D90" s="13" t="s">
        <v>109</v>
      </c>
      <c r="E90" s="13">
        <v>1</v>
      </c>
      <c r="F90" s="13">
        <v>105</v>
      </c>
      <c r="G90" s="13">
        <v>105</v>
      </c>
      <c r="H90" s="13" t="s">
        <v>15</v>
      </c>
      <c r="I90" s="14" t="s">
        <v>16</v>
      </c>
      <c r="J90" s="13">
        <f>(Table1[[#This Row],[Total Revenue]] * 0.18) + Table1[[#This Row],[Total Revenue]]</f>
        <v>123.9</v>
      </c>
    </row>
    <row r="91" spans="1:10" x14ac:dyDescent="0.35">
      <c r="A91" s="16">
        <v>10090</v>
      </c>
      <c r="B91" s="15">
        <v>45381</v>
      </c>
      <c r="C91" s="16" t="s">
        <v>25</v>
      </c>
      <c r="D91" s="16" t="s">
        <v>110</v>
      </c>
      <c r="E91" s="16">
        <v>2</v>
      </c>
      <c r="F91" s="16">
        <v>129.99</v>
      </c>
      <c r="G91" s="16">
        <v>259.98</v>
      </c>
      <c r="H91" s="16" t="s">
        <v>19</v>
      </c>
      <c r="I91" s="17" t="s">
        <v>12</v>
      </c>
      <c r="J91" s="16">
        <f>(Table1[[#This Row],[Total Revenue]] * 0.18) + Table1[[#This Row],[Total Revenue]]</f>
        <v>306.77640000000002</v>
      </c>
    </row>
    <row r="92" spans="1:10" x14ac:dyDescent="0.35">
      <c r="A92" s="13">
        <v>10091</v>
      </c>
      <c r="B92" s="12">
        <v>45382</v>
      </c>
      <c r="C92" s="13" t="s">
        <v>9</v>
      </c>
      <c r="D92" s="13" t="s">
        <v>111</v>
      </c>
      <c r="E92" s="13">
        <v>2</v>
      </c>
      <c r="F92" s="13">
        <v>99.99</v>
      </c>
      <c r="G92" s="13">
        <v>199.98</v>
      </c>
      <c r="H92" s="13" t="s">
        <v>11</v>
      </c>
      <c r="I92" s="14" t="s">
        <v>12</v>
      </c>
      <c r="J92" s="13">
        <f>(Table1[[#This Row],[Total Revenue]] * 0.18) + Table1[[#This Row],[Total Revenue]]</f>
        <v>235.97639999999998</v>
      </c>
    </row>
    <row r="93" spans="1:10" x14ac:dyDescent="0.35">
      <c r="A93" s="16">
        <v>10092</v>
      </c>
      <c r="B93" s="15">
        <v>45383</v>
      </c>
      <c r="C93" s="16" t="s">
        <v>13</v>
      </c>
      <c r="D93" s="16" t="s">
        <v>112</v>
      </c>
      <c r="E93" s="16">
        <v>1</v>
      </c>
      <c r="F93" s="16">
        <v>179.99</v>
      </c>
      <c r="G93" s="16">
        <v>179.99</v>
      </c>
      <c r="H93" s="16" t="s">
        <v>15</v>
      </c>
      <c r="I93" s="17" t="s">
        <v>16</v>
      </c>
      <c r="J93" s="16">
        <f>(Table1[[#This Row],[Total Revenue]] * 0.18) + Table1[[#This Row],[Total Revenue]]</f>
        <v>212.38820000000001</v>
      </c>
    </row>
    <row r="94" spans="1:10" x14ac:dyDescent="0.35">
      <c r="A94" s="13">
        <v>10093</v>
      </c>
      <c r="B94" s="12">
        <v>45384</v>
      </c>
      <c r="C94" s="13" t="s">
        <v>17</v>
      </c>
      <c r="D94" s="13" t="s">
        <v>113</v>
      </c>
      <c r="E94" s="13">
        <v>4</v>
      </c>
      <c r="F94" s="13">
        <v>79.989999999999995</v>
      </c>
      <c r="G94" s="13">
        <v>319.95999999999998</v>
      </c>
      <c r="H94" s="13" t="s">
        <v>19</v>
      </c>
      <c r="I94" s="14" t="s">
        <v>20</v>
      </c>
      <c r="J94" s="13">
        <f>(Table1[[#This Row],[Total Revenue]] * 0.18) + Table1[[#This Row],[Total Revenue]]</f>
        <v>377.55279999999999</v>
      </c>
    </row>
    <row r="95" spans="1:10" x14ac:dyDescent="0.35">
      <c r="A95" s="16">
        <v>10094</v>
      </c>
      <c r="B95" s="15">
        <v>45385</v>
      </c>
      <c r="C95" s="16" t="s">
        <v>21</v>
      </c>
      <c r="D95" s="16" t="s">
        <v>114</v>
      </c>
      <c r="E95" s="16">
        <v>3</v>
      </c>
      <c r="F95" s="16">
        <v>14.99</v>
      </c>
      <c r="G95" s="16">
        <v>44.97</v>
      </c>
      <c r="H95" s="16" t="s">
        <v>11</v>
      </c>
      <c r="I95" s="17" t="s">
        <v>12</v>
      </c>
      <c r="J95" s="16">
        <f>(Table1[[#This Row],[Total Revenue]] * 0.18) + Table1[[#This Row],[Total Revenue]]</f>
        <v>53.064599999999999</v>
      </c>
    </row>
    <row r="96" spans="1:10" x14ac:dyDescent="0.35">
      <c r="A96" s="13">
        <v>10095</v>
      </c>
      <c r="B96" s="12">
        <v>45386</v>
      </c>
      <c r="C96" s="13" t="s">
        <v>23</v>
      </c>
      <c r="D96" s="13" t="s">
        <v>115</v>
      </c>
      <c r="E96" s="13">
        <v>1</v>
      </c>
      <c r="F96" s="13">
        <v>68</v>
      </c>
      <c r="G96" s="13">
        <v>68</v>
      </c>
      <c r="H96" s="13" t="s">
        <v>15</v>
      </c>
      <c r="I96" s="14" t="s">
        <v>16</v>
      </c>
      <c r="J96" s="13">
        <f>(Table1[[#This Row],[Total Revenue]] * 0.18) + Table1[[#This Row],[Total Revenue]]</f>
        <v>80.239999999999995</v>
      </c>
    </row>
    <row r="97" spans="1:10" x14ac:dyDescent="0.35">
      <c r="A97" s="16">
        <v>10096</v>
      </c>
      <c r="B97" s="15">
        <v>45387</v>
      </c>
      <c r="C97" s="16" t="s">
        <v>25</v>
      </c>
      <c r="D97" s="16" t="s">
        <v>116</v>
      </c>
      <c r="E97" s="16">
        <v>1</v>
      </c>
      <c r="F97" s="16">
        <v>999.99</v>
      </c>
      <c r="G97" s="16">
        <v>999.99</v>
      </c>
      <c r="H97" s="16" t="s">
        <v>19</v>
      </c>
      <c r="I97" s="17" t="s">
        <v>12</v>
      </c>
      <c r="J97" s="16">
        <f>(Table1[[#This Row],[Total Revenue]] * 0.18) + Table1[[#This Row],[Total Revenue]]</f>
        <v>1179.9882</v>
      </c>
    </row>
    <row r="98" spans="1:10" x14ac:dyDescent="0.35">
      <c r="A98" s="13">
        <v>10097</v>
      </c>
      <c r="B98" s="12">
        <v>45388</v>
      </c>
      <c r="C98" s="13" t="s">
        <v>9</v>
      </c>
      <c r="D98" s="13" t="s">
        <v>117</v>
      </c>
      <c r="E98" s="13">
        <v>3</v>
      </c>
      <c r="F98" s="13">
        <v>299.99</v>
      </c>
      <c r="G98" s="13">
        <v>899.97</v>
      </c>
      <c r="H98" s="13" t="s">
        <v>11</v>
      </c>
      <c r="I98" s="14" t="s">
        <v>12</v>
      </c>
      <c r="J98" s="13">
        <f>(Table1[[#This Row],[Total Revenue]] * 0.18) + Table1[[#This Row],[Total Revenue]]</f>
        <v>1061.9646</v>
      </c>
    </row>
    <row r="99" spans="1:10" x14ac:dyDescent="0.35">
      <c r="A99" s="16">
        <v>10098</v>
      </c>
      <c r="B99" s="15">
        <v>45389</v>
      </c>
      <c r="C99" s="16" t="s">
        <v>13</v>
      </c>
      <c r="D99" s="16" t="s">
        <v>118</v>
      </c>
      <c r="E99" s="16">
        <v>1</v>
      </c>
      <c r="F99" s="16">
        <v>349.99</v>
      </c>
      <c r="G99" s="16">
        <v>349.99</v>
      </c>
      <c r="H99" s="16" t="s">
        <v>15</v>
      </c>
      <c r="I99" s="17" t="s">
        <v>16</v>
      </c>
      <c r="J99" s="16">
        <f>(Table1[[#This Row],[Total Revenue]] * 0.18) + Table1[[#This Row],[Total Revenue]]</f>
        <v>412.98820000000001</v>
      </c>
    </row>
    <row r="100" spans="1:10" x14ac:dyDescent="0.35">
      <c r="A100" s="13">
        <v>10099</v>
      </c>
      <c r="B100" s="12">
        <v>45390</v>
      </c>
      <c r="C100" s="13" t="s">
        <v>17</v>
      </c>
      <c r="D100" s="13" t="s">
        <v>119</v>
      </c>
      <c r="E100" s="13">
        <v>6</v>
      </c>
      <c r="F100" s="13">
        <v>19.989999999999998</v>
      </c>
      <c r="G100" s="13">
        <v>119.94</v>
      </c>
      <c r="H100" s="13" t="s">
        <v>19</v>
      </c>
      <c r="I100" s="14" t="s">
        <v>20</v>
      </c>
      <c r="J100" s="13">
        <f>(Table1[[#This Row],[Total Revenue]] * 0.18) + Table1[[#This Row],[Total Revenue]]</f>
        <v>141.5292</v>
      </c>
    </row>
    <row r="101" spans="1:10" x14ac:dyDescent="0.35">
      <c r="A101" s="16">
        <v>10100</v>
      </c>
      <c r="B101" s="15">
        <v>45391</v>
      </c>
      <c r="C101" s="16" t="s">
        <v>21</v>
      </c>
      <c r="D101" s="16" t="s">
        <v>120</v>
      </c>
      <c r="E101" s="16">
        <v>2</v>
      </c>
      <c r="F101" s="16">
        <v>12.99</v>
      </c>
      <c r="G101" s="16">
        <v>25.98</v>
      </c>
      <c r="H101" s="16" t="s">
        <v>11</v>
      </c>
      <c r="I101" s="17" t="s">
        <v>12</v>
      </c>
      <c r="J101" s="16">
        <f>(Table1[[#This Row],[Total Revenue]] * 0.18) + Table1[[#This Row],[Total Revenue]]</f>
        <v>30.656400000000001</v>
      </c>
    </row>
    <row r="102" spans="1:10" x14ac:dyDescent="0.35">
      <c r="A102" s="13">
        <v>10101</v>
      </c>
      <c r="B102" s="12">
        <v>45392</v>
      </c>
      <c r="C102" s="13" t="s">
        <v>23</v>
      </c>
      <c r="D102" s="13" t="s">
        <v>121</v>
      </c>
      <c r="E102" s="13">
        <v>1</v>
      </c>
      <c r="F102" s="13">
        <v>82</v>
      </c>
      <c r="G102" s="13">
        <v>82</v>
      </c>
      <c r="H102" s="13" t="s">
        <v>15</v>
      </c>
      <c r="I102" s="14" t="s">
        <v>16</v>
      </c>
      <c r="J102" s="13">
        <f>(Table1[[#This Row],[Total Revenue]] * 0.18) + Table1[[#This Row],[Total Revenue]]</f>
        <v>96.76</v>
      </c>
    </row>
    <row r="103" spans="1:10" x14ac:dyDescent="0.35">
      <c r="A103" s="16">
        <v>10102</v>
      </c>
      <c r="B103" s="15">
        <v>45393</v>
      </c>
      <c r="C103" s="16" t="s">
        <v>25</v>
      </c>
      <c r="D103" s="16" t="s">
        <v>122</v>
      </c>
      <c r="E103" s="16">
        <v>2</v>
      </c>
      <c r="F103" s="16">
        <v>109.99</v>
      </c>
      <c r="G103" s="16">
        <v>219.98</v>
      </c>
      <c r="H103" s="16" t="s">
        <v>19</v>
      </c>
      <c r="I103" s="17" t="s">
        <v>12</v>
      </c>
      <c r="J103" s="16">
        <f>(Table1[[#This Row],[Total Revenue]] * 0.18) + Table1[[#This Row],[Total Revenue]]</f>
        <v>259.57639999999998</v>
      </c>
    </row>
    <row r="104" spans="1:10" x14ac:dyDescent="0.35">
      <c r="A104" s="13">
        <v>10103</v>
      </c>
      <c r="B104" s="12">
        <v>45394</v>
      </c>
      <c r="C104" s="13" t="s">
        <v>9</v>
      </c>
      <c r="D104" s="13" t="s">
        <v>123</v>
      </c>
      <c r="E104" s="13">
        <v>1</v>
      </c>
      <c r="F104" s="13">
        <v>3899.99</v>
      </c>
      <c r="G104" s="13">
        <v>3899.99</v>
      </c>
      <c r="H104" s="13" t="s">
        <v>11</v>
      </c>
      <c r="I104" s="14" t="s">
        <v>12</v>
      </c>
      <c r="J104" s="13">
        <f>(Table1[[#This Row],[Total Revenue]] * 0.18) + Table1[[#This Row],[Total Revenue]]</f>
        <v>4601.9881999999998</v>
      </c>
    </row>
    <row r="105" spans="1:10" x14ac:dyDescent="0.35">
      <c r="A105" s="16">
        <v>10104</v>
      </c>
      <c r="B105" s="15">
        <v>45395</v>
      </c>
      <c r="C105" s="16" t="s">
        <v>13</v>
      </c>
      <c r="D105" s="16" t="s">
        <v>124</v>
      </c>
      <c r="E105" s="16">
        <v>2</v>
      </c>
      <c r="F105" s="16">
        <v>349.99</v>
      </c>
      <c r="G105" s="16">
        <v>699.98</v>
      </c>
      <c r="H105" s="16" t="s">
        <v>15</v>
      </c>
      <c r="I105" s="17" t="s">
        <v>16</v>
      </c>
      <c r="J105" s="16">
        <f>(Table1[[#This Row],[Total Revenue]] * 0.18) + Table1[[#This Row],[Total Revenue]]</f>
        <v>825.97640000000001</v>
      </c>
    </row>
    <row r="106" spans="1:10" x14ac:dyDescent="0.35">
      <c r="A106" s="13">
        <v>10105</v>
      </c>
      <c r="B106" s="12">
        <v>45396</v>
      </c>
      <c r="C106" s="13" t="s">
        <v>17</v>
      </c>
      <c r="D106" s="13" t="s">
        <v>125</v>
      </c>
      <c r="E106" s="13">
        <v>3</v>
      </c>
      <c r="F106" s="13">
        <v>39.99</v>
      </c>
      <c r="G106" s="13">
        <v>119.97</v>
      </c>
      <c r="H106" s="13" t="s">
        <v>19</v>
      </c>
      <c r="I106" s="14" t="s">
        <v>20</v>
      </c>
      <c r="J106" s="13">
        <f>(Table1[[#This Row],[Total Revenue]] * 0.18) + Table1[[#This Row],[Total Revenue]]</f>
        <v>141.56459999999998</v>
      </c>
    </row>
    <row r="107" spans="1:10" x14ac:dyDescent="0.35">
      <c r="A107" s="16">
        <v>10106</v>
      </c>
      <c r="B107" s="15">
        <v>45397</v>
      </c>
      <c r="C107" s="16" t="s">
        <v>21</v>
      </c>
      <c r="D107" s="16" t="s">
        <v>126</v>
      </c>
      <c r="E107" s="16">
        <v>4</v>
      </c>
      <c r="F107" s="16">
        <v>10.99</v>
      </c>
      <c r="G107" s="16">
        <v>43.96</v>
      </c>
      <c r="H107" s="16" t="s">
        <v>11</v>
      </c>
      <c r="I107" s="17" t="s">
        <v>12</v>
      </c>
      <c r="J107" s="16">
        <f>(Table1[[#This Row],[Total Revenue]] * 0.18) + Table1[[#This Row],[Total Revenue]]</f>
        <v>51.872799999999998</v>
      </c>
    </row>
    <row r="108" spans="1:10" x14ac:dyDescent="0.35">
      <c r="A108" s="13">
        <v>10107</v>
      </c>
      <c r="B108" s="12">
        <v>45398</v>
      </c>
      <c r="C108" s="13" t="s">
        <v>23</v>
      </c>
      <c r="D108" s="13" t="s">
        <v>127</v>
      </c>
      <c r="E108" s="13">
        <v>1</v>
      </c>
      <c r="F108" s="13">
        <v>6.5</v>
      </c>
      <c r="G108" s="13">
        <v>6.5</v>
      </c>
      <c r="H108" s="13" t="s">
        <v>15</v>
      </c>
      <c r="I108" s="14" t="s">
        <v>16</v>
      </c>
      <c r="J108" s="13">
        <f>(Table1[[#This Row],[Total Revenue]] * 0.18) + Table1[[#This Row],[Total Revenue]]</f>
        <v>7.67</v>
      </c>
    </row>
    <row r="109" spans="1:10" x14ac:dyDescent="0.35">
      <c r="A109" s="16">
        <v>10108</v>
      </c>
      <c r="B109" s="15">
        <v>45399</v>
      </c>
      <c r="C109" s="16" t="s">
        <v>25</v>
      </c>
      <c r="D109" s="16" t="s">
        <v>128</v>
      </c>
      <c r="E109" s="16">
        <v>1</v>
      </c>
      <c r="F109" s="16">
        <v>399.99</v>
      </c>
      <c r="G109" s="16">
        <v>399.99</v>
      </c>
      <c r="H109" s="16" t="s">
        <v>19</v>
      </c>
      <c r="I109" s="17" t="s">
        <v>12</v>
      </c>
      <c r="J109" s="16">
        <f>(Table1[[#This Row],[Total Revenue]] * 0.18) + Table1[[#This Row],[Total Revenue]]</f>
        <v>471.98820000000001</v>
      </c>
    </row>
    <row r="110" spans="1:10" x14ac:dyDescent="0.35">
      <c r="A110" s="13">
        <v>10109</v>
      </c>
      <c r="B110" s="12">
        <v>45400</v>
      </c>
      <c r="C110" s="13" t="s">
        <v>9</v>
      </c>
      <c r="D110" s="13" t="s">
        <v>129</v>
      </c>
      <c r="E110" s="13">
        <v>2</v>
      </c>
      <c r="F110" s="13">
        <v>229.99</v>
      </c>
      <c r="G110" s="13">
        <v>459.98</v>
      </c>
      <c r="H110" s="13" t="s">
        <v>11</v>
      </c>
      <c r="I110" s="14" t="s">
        <v>12</v>
      </c>
      <c r="J110" s="13">
        <f>(Table1[[#This Row],[Total Revenue]] * 0.18) + Table1[[#This Row],[Total Revenue]]</f>
        <v>542.77639999999997</v>
      </c>
    </row>
    <row r="111" spans="1:10" x14ac:dyDescent="0.35">
      <c r="A111" s="16">
        <v>10110</v>
      </c>
      <c r="B111" s="15">
        <v>45401</v>
      </c>
      <c r="C111" s="16" t="s">
        <v>13</v>
      </c>
      <c r="D111" s="16" t="s">
        <v>130</v>
      </c>
      <c r="E111" s="16">
        <v>1</v>
      </c>
      <c r="F111" s="16">
        <v>159.99</v>
      </c>
      <c r="G111" s="16">
        <v>159.99</v>
      </c>
      <c r="H111" s="16" t="s">
        <v>15</v>
      </c>
      <c r="I111" s="17" t="s">
        <v>16</v>
      </c>
      <c r="J111" s="16">
        <f>(Table1[[#This Row],[Total Revenue]] * 0.18) + Table1[[#This Row],[Total Revenue]]</f>
        <v>188.78820000000002</v>
      </c>
    </row>
    <row r="112" spans="1:10" x14ac:dyDescent="0.35">
      <c r="A112" s="13">
        <v>10111</v>
      </c>
      <c r="B112" s="12">
        <v>45402</v>
      </c>
      <c r="C112" s="13" t="s">
        <v>17</v>
      </c>
      <c r="D112" s="13" t="s">
        <v>131</v>
      </c>
      <c r="E112" s="13">
        <v>4</v>
      </c>
      <c r="F112" s="13">
        <v>14.99</v>
      </c>
      <c r="G112" s="13">
        <v>59.96</v>
      </c>
      <c r="H112" s="13" t="s">
        <v>19</v>
      </c>
      <c r="I112" s="14" t="s">
        <v>20</v>
      </c>
      <c r="J112" s="13">
        <f>(Table1[[#This Row],[Total Revenue]] * 0.18) + Table1[[#This Row],[Total Revenue]]</f>
        <v>70.752800000000008</v>
      </c>
    </row>
    <row r="113" spans="1:10" x14ac:dyDescent="0.35">
      <c r="A113" s="16">
        <v>10112</v>
      </c>
      <c r="B113" s="15">
        <v>45403</v>
      </c>
      <c r="C113" s="16" t="s">
        <v>21</v>
      </c>
      <c r="D113" s="16" t="s">
        <v>132</v>
      </c>
      <c r="E113" s="16">
        <v>2</v>
      </c>
      <c r="F113" s="16">
        <v>18.989999999999998</v>
      </c>
      <c r="G113" s="16">
        <v>37.979999999999997</v>
      </c>
      <c r="H113" s="16" t="s">
        <v>11</v>
      </c>
      <c r="I113" s="17" t="s">
        <v>12</v>
      </c>
      <c r="J113" s="16">
        <f>(Table1[[#This Row],[Total Revenue]] * 0.18) + Table1[[#This Row],[Total Revenue]]</f>
        <v>44.816399999999994</v>
      </c>
    </row>
    <row r="114" spans="1:10" x14ac:dyDescent="0.35">
      <c r="A114" s="13">
        <v>10113</v>
      </c>
      <c r="B114" s="12">
        <v>45404</v>
      </c>
      <c r="C114" s="13" t="s">
        <v>23</v>
      </c>
      <c r="D114" s="13" t="s">
        <v>133</v>
      </c>
      <c r="E114" s="13">
        <v>1</v>
      </c>
      <c r="F114" s="13">
        <v>15</v>
      </c>
      <c r="G114" s="13">
        <v>15</v>
      </c>
      <c r="H114" s="13" t="s">
        <v>15</v>
      </c>
      <c r="I114" s="14" t="s">
        <v>16</v>
      </c>
      <c r="J114" s="13">
        <f>(Table1[[#This Row],[Total Revenue]] * 0.18) + Table1[[#This Row],[Total Revenue]]</f>
        <v>17.7</v>
      </c>
    </row>
    <row r="115" spans="1:10" x14ac:dyDescent="0.35">
      <c r="A115" s="16">
        <v>10114</v>
      </c>
      <c r="B115" s="15">
        <v>45405</v>
      </c>
      <c r="C115" s="16" t="s">
        <v>25</v>
      </c>
      <c r="D115" s="16" t="s">
        <v>134</v>
      </c>
      <c r="E115" s="16">
        <v>3</v>
      </c>
      <c r="F115" s="16">
        <v>229.95</v>
      </c>
      <c r="G115" s="16">
        <v>689.85</v>
      </c>
      <c r="H115" s="16" t="s">
        <v>19</v>
      </c>
      <c r="I115" s="17" t="s">
        <v>12</v>
      </c>
      <c r="J115" s="16">
        <f>(Table1[[#This Row],[Total Revenue]] * 0.18) + Table1[[#This Row],[Total Revenue]]</f>
        <v>814.02300000000002</v>
      </c>
    </row>
    <row r="116" spans="1:10" x14ac:dyDescent="0.35">
      <c r="A116" s="13">
        <v>10115</v>
      </c>
      <c r="B116" s="12">
        <v>45406</v>
      </c>
      <c r="C116" s="13" t="s">
        <v>9</v>
      </c>
      <c r="D116" s="13" t="s">
        <v>135</v>
      </c>
      <c r="E116" s="13">
        <v>1</v>
      </c>
      <c r="F116" s="13">
        <v>249.99</v>
      </c>
      <c r="G116" s="13">
        <v>249.99</v>
      </c>
      <c r="H116" s="13" t="s">
        <v>11</v>
      </c>
      <c r="I116" s="14" t="s">
        <v>12</v>
      </c>
      <c r="J116" s="13">
        <f>(Table1[[#This Row],[Total Revenue]] * 0.18) + Table1[[#This Row],[Total Revenue]]</f>
        <v>294.98820000000001</v>
      </c>
    </row>
    <row r="117" spans="1:10" x14ac:dyDescent="0.35">
      <c r="A117" s="16">
        <v>10116</v>
      </c>
      <c r="B117" s="15">
        <v>45407</v>
      </c>
      <c r="C117" s="16" t="s">
        <v>13</v>
      </c>
      <c r="D117" s="16" t="s">
        <v>136</v>
      </c>
      <c r="E117" s="16">
        <v>2</v>
      </c>
      <c r="F117" s="16">
        <v>299.95</v>
      </c>
      <c r="G117" s="16">
        <v>599.9</v>
      </c>
      <c r="H117" s="16" t="s">
        <v>15</v>
      </c>
      <c r="I117" s="17" t="s">
        <v>16</v>
      </c>
      <c r="J117" s="16">
        <f>(Table1[[#This Row],[Total Revenue]] * 0.18) + Table1[[#This Row],[Total Revenue]]</f>
        <v>707.88199999999995</v>
      </c>
    </row>
    <row r="118" spans="1:10" x14ac:dyDescent="0.35">
      <c r="A118" s="13">
        <v>10117</v>
      </c>
      <c r="B118" s="12">
        <v>45408</v>
      </c>
      <c r="C118" s="13" t="s">
        <v>17</v>
      </c>
      <c r="D118" s="13" t="s">
        <v>137</v>
      </c>
      <c r="E118" s="13">
        <v>3</v>
      </c>
      <c r="F118" s="13">
        <v>49.99</v>
      </c>
      <c r="G118" s="13">
        <v>149.97</v>
      </c>
      <c r="H118" s="13" t="s">
        <v>19</v>
      </c>
      <c r="I118" s="14" t="s">
        <v>20</v>
      </c>
      <c r="J118" s="13">
        <f>(Table1[[#This Row],[Total Revenue]] * 0.18) + Table1[[#This Row],[Total Revenue]]</f>
        <v>176.96459999999999</v>
      </c>
    </row>
    <row r="119" spans="1:10" x14ac:dyDescent="0.35">
      <c r="A119" s="16">
        <v>10118</v>
      </c>
      <c r="B119" s="15">
        <v>45409</v>
      </c>
      <c r="C119" s="16" t="s">
        <v>21</v>
      </c>
      <c r="D119" s="16" t="s">
        <v>138</v>
      </c>
      <c r="E119" s="16">
        <v>4</v>
      </c>
      <c r="F119" s="16">
        <v>16.989999999999998</v>
      </c>
      <c r="G119" s="16">
        <v>67.959999999999994</v>
      </c>
      <c r="H119" s="16" t="s">
        <v>11</v>
      </c>
      <c r="I119" s="17" t="s">
        <v>12</v>
      </c>
      <c r="J119" s="16">
        <f>(Table1[[#This Row],[Total Revenue]] * 0.18) + Table1[[#This Row],[Total Revenue]]</f>
        <v>80.192799999999991</v>
      </c>
    </row>
    <row r="120" spans="1:10" x14ac:dyDescent="0.35">
      <c r="A120" s="13">
        <v>10119</v>
      </c>
      <c r="B120" s="12">
        <v>45410</v>
      </c>
      <c r="C120" s="13" t="s">
        <v>23</v>
      </c>
      <c r="D120" s="13" t="s">
        <v>139</v>
      </c>
      <c r="E120" s="13">
        <v>2</v>
      </c>
      <c r="F120" s="13">
        <v>14.99</v>
      </c>
      <c r="G120" s="13">
        <v>29.98</v>
      </c>
      <c r="H120" s="13" t="s">
        <v>15</v>
      </c>
      <c r="I120" s="14" t="s">
        <v>16</v>
      </c>
      <c r="J120" s="13">
        <f>(Table1[[#This Row],[Total Revenue]] * 0.18) + Table1[[#This Row],[Total Revenue]]</f>
        <v>35.376400000000004</v>
      </c>
    </row>
    <row r="121" spans="1:10" x14ac:dyDescent="0.35">
      <c r="A121" s="16">
        <v>10120</v>
      </c>
      <c r="B121" s="15">
        <v>45411</v>
      </c>
      <c r="C121" s="16" t="s">
        <v>25</v>
      </c>
      <c r="D121" s="16" t="s">
        <v>140</v>
      </c>
      <c r="E121" s="16">
        <v>1</v>
      </c>
      <c r="F121" s="16">
        <v>249.99</v>
      </c>
      <c r="G121" s="16">
        <v>249.99</v>
      </c>
      <c r="H121" s="16" t="s">
        <v>19</v>
      </c>
      <c r="I121" s="17" t="s">
        <v>12</v>
      </c>
      <c r="J121" s="16">
        <f>(Table1[[#This Row],[Total Revenue]] * 0.18) + Table1[[#This Row],[Total Revenue]]</f>
        <v>294.98820000000001</v>
      </c>
    </row>
    <row r="122" spans="1:10" x14ac:dyDescent="0.35">
      <c r="A122" s="13">
        <v>10121</v>
      </c>
      <c r="B122" s="12">
        <v>45412</v>
      </c>
      <c r="C122" s="13" t="s">
        <v>9</v>
      </c>
      <c r="D122" s="13" t="s">
        <v>141</v>
      </c>
      <c r="E122" s="13">
        <v>2</v>
      </c>
      <c r="F122" s="13">
        <v>599.99</v>
      </c>
      <c r="G122" s="13">
        <v>1199.98</v>
      </c>
      <c r="H122" s="13" t="s">
        <v>11</v>
      </c>
      <c r="I122" s="14" t="s">
        <v>12</v>
      </c>
      <c r="J122" s="13">
        <f>(Table1[[#This Row],[Total Revenue]] * 0.18) + Table1[[#This Row],[Total Revenue]]</f>
        <v>1415.9764</v>
      </c>
    </row>
    <row r="123" spans="1:10" x14ac:dyDescent="0.35">
      <c r="G123">
        <f>SUM(G2:G122)</f>
        <v>50652.620000000032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Online Sales Data</vt:lpstr>
      <vt:lpstr>Q2</vt:lpstr>
      <vt:lpstr>Q1</vt:lpstr>
      <vt:lpstr>Q1_2024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nevin</dc:creator>
  <cp:lastModifiedBy>nevin</cp:lastModifiedBy>
  <dcterms:created xsi:type="dcterms:W3CDTF">2025-11-24T11:36:31Z</dcterms:created>
  <dcterms:modified xsi:type="dcterms:W3CDTF">2025-11-24T11:36:31Z</dcterms:modified>
</cp:coreProperties>
</file>