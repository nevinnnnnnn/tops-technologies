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vin\OneDrive\Desktop\tops-technologies\Assignment\LabPractice\Excel\"/>
    </mc:Choice>
  </mc:AlternateContent>
  <bookViews>
    <workbookView xWindow="0" yWindow="0" windowWidth="19200" windowHeight="7190"/>
  </bookViews>
  <sheets>
    <sheet name="Online Sales Data" sheetId="1" r:id="rId1"/>
    <sheet name="Q2" sheetId="3" r:id="rId2"/>
    <sheet name="Q1" sheetId="2" r:id="rId3"/>
  </sheets>
  <definedNames>
    <definedName name="Q1_2024">'Online Sales Data'!$B$2:$B$122</definedName>
  </definedNames>
  <calcPr calcId="152511"/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K2" i="1"/>
  <c r="L2" i="1" s="1"/>
  <c r="M2" i="1" s="1"/>
  <c r="K3" i="1"/>
  <c r="L3" i="1" s="1"/>
  <c r="M3" i="1" s="1"/>
  <c r="K4" i="1"/>
  <c r="L4" i="1" s="1"/>
  <c r="M4" i="1" s="1"/>
  <c r="K5" i="1"/>
  <c r="L5" i="1" s="1"/>
  <c r="M5" i="1" s="1"/>
  <c r="K6" i="1"/>
  <c r="L6" i="1" s="1"/>
  <c r="M6" i="1" s="1"/>
  <c r="K7" i="1"/>
  <c r="L7" i="1" s="1"/>
  <c r="M7" i="1" s="1"/>
  <c r="K8" i="1"/>
  <c r="L8" i="1" s="1"/>
  <c r="M8" i="1" s="1"/>
  <c r="K9" i="1"/>
  <c r="L9" i="1" s="1"/>
  <c r="M9" i="1" s="1"/>
  <c r="K10" i="1"/>
  <c r="L10" i="1" s="1"/>
  <c r="M10" i="1" s="1"/>
  <c r="K11" i="1"/>
  <c r="L11" i="1" s="1"/>
  <c r="M11" i="1" s="1"/>
  <c r="K12" i="1"/>
  <c r="L12" i="1" s="1"/>
  <c r="M12" i="1" s="1"/>
  <c r="K13" i="1"/>
  <c r="L13" i="1" s="1"/>
  <c r="M13" i="1" s="1"/>
  <c r="K14" i="1"/>
  <c r="L14" i="1" s="1"/>
  <c r="M14" i="1" s="1"/>
  <c r="K15" i="1"/>
  <c r="L15" i="1" s="1"/>
  <c r="M15" i="1" s="1"/>
  <c r="K16" i="1"/>
  <c r="L16" i="1" s="1"/>
  <c r="M16" i="1" s="1"/>
  <c r="K17" i="1"/>
  <c r="L17" i="1" s="1"/>
  <c r="M17" i="1" s="1"/>
  <c r="K18" i="1"/>
  <c r="L18" i="1" s="1"/>
  <c r="M18" i="1" s="1"/>
  <c r="K19" i="1"/>
  <c r="L19" i="1" s="1"/>
  <c r="M19" i="1" s="1"/>
  <c r="K20" i="1"/>
  <c r="L20" i="1" s="1"/>
  <c r="M20" i="1" s="1"/>
  <c r="K21" i="1"/>
  <c r="L21" i="1" s="1"/>
  <c r="M21" i="1" s="1"/>
  <c r="K22" i="1"/>
  <c r="L22" i="1" s="1"/>
  <c r="M22" i="1" s="1"/>
  <c r="K23" i="1"/>
  <c r="L23" i="1" s="1"/>
  <c r="M23" i="1" s="1"/>
  <c r="K24" i="1"/>
  <c r="L24" i="1" s="1"/>
  <c r="M24" i="1" s="1"/>
  <c r="K25" i="1"/>
  <c r="L25" i="1" s="1"/>
  <c r="M25" i="1" s="1"/>
  <c r="K26" i="1"/>
  <c r="L26" i="1" s="1"/>
  <c r="M26" i="1" s="1"/>
  <c r="K27" i="1"/>
  <c r="L27" i="1" s="1"/>
  <c r="M27" i="1" s="1"/>
  <c r="K28" i="1"/>
  <c r="L28" i="1" s="1"/>
  <c r="M28" i="1" s="1"/>
  <c r="K29" i="1"/>
  <c r="L29" i="1" s="1"/>
  <c r="M29" i="1" s="1"/>
  <c r="K30" i="1"/>
  <c r="L30" i="1" s="1"/>
  <c r="M30" i="1" s="1"/>
  <c r="K31" i="1"/>
  <c r="L31" i="1" s="1"/>
  <c r="M31" i="1" s="1"/>
  <c r="K32" i="1"/>
  <c r="L32" i="1" s="1"/>
  <c r="M32" i="1" s="1"/>
  <c r="K33" i="1"/>
  <c r="L33" i="1" s="1"/>
  <c r="M33" i="1" s="1"/>
  <c r="K34" i="1"/>
  <c r="L34" i="1" s="1"/>
  <c r="M34" i="1" s="1"/>
  <c r="K35" i="1"/>
  <c r="L35" i="1" s="1"/>
  <c r="M35" i="1" s="1"/>
  <c r="K36" i="1"/>
  <c r="L36" i="1" s="1"/>
  <c r="M36" i="1" s="1"/>
  <c r="K37" i="1"/>
  <c r="L37" i="1" s="1"/>
  <c r="M37" i="1" s="1"/>
  <c r="K38" i="1"/>
  <c r="L38" i="1" s="1"/>
  <c r="M38" i="1" s="1"/>
  <c r="K39" i="1"/>
  <c r="L39" i="1" s="1"/>
  <c r="M39" i="1" s="1"/>
  <c r="K40" i="1"/>
  <c r="L40" i="1" s="1"/>
  <c r="M40" i="1" s="1"/>
  <c r="K41" i="1"/>
  <c r="L41" i="1" s="1"/>
  <c r="M41" i="1" s="1"/>
  <c r="K42" i="1"/>
  <c r="L42" i="1" s="1"/>
  <c r="M42" i="1" s="1"/>
  <c r="K43" i="1"/>
  <c r="L43" i="1" s="1"/>
  <c r="M43" i="1" s="1"/>
  <c r="K44" i="1"/>
  <c r="L44" i="1" s="1"/>
  <c r="M44" i="1" s="1"/>
  <c r="K45" i="1"/>
  <c r="L45" i="1" s="1"/>
  <c r="M45" i="1" s="1"/>
  <c r="K46" i="1"/>
  <c r="L46" i="1" s="1"/>
  <c r="M46" i="1" s="1"/>
  <c r="K47" i="1"/>
  <c r="L47" i="1" s="1"/>
  <c r="M47" i="1" s="1"/>
  <c r="K48" i="1"/>
  <c r="L48" i="1" s="1"/>
  <c r="M48" i="1" s="1"/>
  <c r="K49" i="1"/>
  <c r="L49" i="1" s="1"/>
  <c r="M49" i="1" s="1"/>
  <c r="K50" i="1"/>
  <c r="L50" i="1" s="1"/>
  <c r="M50" i="1" s="1"/>
  <c r="K51" i="1"/>
  <c r="L51" i="1" s="1"/>
  <c r="M51" i="1" s="1"/>
  <c r="K52" i="1"/>
  <c r="L52" i="1" s="1"/>
  <c r="M52" i="1" s="1"/>
  <c r="K53" i="1"/>
  <c r="L53" i="1" s="1"/>
  <c r="M53" i="1" s="1"/>
  <c r="K54" i="1"/>
  <c r="L54" i="1" s="1"/>
  <c r="M54" i="1" s="1"/>
  <c r="K55" i="1"/>
  <c r="L55" i="1" s="1"/>
  <c r="M55" i="1" s="1"/>
  <c r="K56" i="1"/>
  <c r="L56" i="1" s="1"/>
  <c r="M56" i="1" s="1"/>
  <c r="K57" i="1"/>
  <c r="L57" i="1" s="1"/>
  <c r="M57" i="1" s="1"/>
  <c r="K58" i="1"/>
  <c r="L58" i="1" s="1"/>
  <c r="M58" i="1" s="1"/>
  <c r="K59" i="1"/>
  <c r="L59" i="1" s="1"/>
  <c r="M59" i="1" s="1"/>
  <c r="K60" i="1"/>
  <c r="L60" i="1" s="1"/>
  <c r="M60" i="1" s="1"/>
  <c r="K61" i="1"/>
  <c r="L61" i="1" s="1"/>
  <c r="M61" i="1" s="1"/>
  <c r="K62" i="1"/>
  <c r="L62" i="1" s="1"/>
  <c r="M62" i="1" s="1"/>
  <c r="K63" i="1"/>
  <c r="L63" i="1" s="1"/>
  <c r="M63" i="1" s="1"/>
  <c r="K64" i="1"/>
  <c r="L64" i="1" s="1"/>
  <c r="M64" i="1" s="1"/>
  <c r="K65" i="1"/>
  <c r="L65" i="1" s="1"/>
  <c r="M65" i="1" s="1"/>
  <c r="K66" i="1"/>
  <c r="L66" i="1" s="1"/>
  <c r="M66" i="1" s="1"/>
  <c r="K67" i="1"/>
  <c r="L67" i="1" s="1"/>
  <c r="M67" i="1" s="1"/>
  <c r="K68" i="1"/>
  <c r="L68" i="1" s="1"/>
  <c r="M68" i="1" s="1"/>
  <c r="K69" i="1"/>
  <c r="L69" i="1" s="1"/>
  <c r="M69" i="1" s="1"/>
  <c r="K70" i="1"/>
  <c r="L70" i="1" s="1"/>
  <c r="M70" i="1" s="1"/>
  <c r="K71" i="1"/>
  <c r="L71" i="1" s="1"/>
  <c r="M71" i="1" s="1"/>
  <c r="K72" i="1"/>
  <c r="L72" i="1" s="1"/>
  <c r="M72" i="1" s="1"/>
  <c r="K73" i="1"/>
  <c r="L73" i="1" s="1"/>
  <c r="M73" i="1" s="1"/>
  <c r="K74" i="1"/>
  <c r="L74" i="1" s="1"/>
  <c r="M74" i="1" s="1"/>
  <c r="K75" i="1"/>
  <c r="L75" i="1" s="1"/>
  <c r="M75" i="1" s="1"/>
  <c r="K76" i="1"/>
  <c r="L76" i="1" s="1"/>
  <c r="M76" i="1" s="1"/>
  <c r="K77" i="1"/>
  <c r="L77" i="1" s="1"/>
  <c r="M77" i="1" s="1"/>
  <c r="K78" i="1"/>
  <c r="L78" i="1" s="1"/>
  <c r="M78" i="1" s="1"/>
  <c r="K79" i="1"/>
  <c r="L79" i="1" s="1"/>
  <c r="M79" i="1" s="1"/>
  <c r="K80" i="1"/>
  <c r="L80" i="1" s="1"/>
  <c r="M80" i="1" s="1"/>
  <c r="K81" i="1"/>
  <c r="L81" i="1" s="1"/>
  <c r="M81" i="1" s="1"/>
  <c r="K82" i="1"/>
  <c r="L82" i="1" s="1"/>
  <c r="M82" i="1" s="1"/>
  <c r="K83" i="1"/>
  <c r="L83" i="1" s="1"/>
  <c r="M83" i="1" s="1"/>
  <c r="K84" i="1"/>
  <c r="L84" i="1" s="1"/>
  <c r="M84" i="1" s="1"/>
  <c r="K85" i="1"/>
  <c r="L85" i="1" s="1"/>
  <c r="M85" i="1" s="1"/>
  <c r="K86" i="1"/>
  <c r="L86" i="1" s="1"/>
  <c r="M86" i="1" s="1"/>
  <c r="K87" i="1"/>
  <c r="L87" i="1" s="1"/>
  <c r="M87" i="1" s="1"/>
  <c r="K88" i="1"/>
  <c r="L88" i="1" s="1"/>
  <c r="M88" i="1" s="1"/>
  <c r="K89" i="1"/>
  <c r="L89" i="1" s="1"/>
  <c r="M89" i="1" s="1"/>
  <c r="K90" i="1"/>
  <c r="L90" i="1" s="1"/>
  <c r="M90" i="1" s="1"/>
  <c r="K91" i="1"/>
  <c r="L91" i="1" s="1"/>
  <c r="M91" i="1" s="1"/>
  <c r="K92" i="1"/>
  <c r="L92" i="1" s="1"/>
  <c r="M92" i="1" s="1"/>
  <c r="K93" i="1"/>
  <c r="L93" i="1" s="1"/>
  <c r="M93" i="1" s="1"/>
  <c r="K94" i="1"/>
  <c r="L94" i="1" s="1"/>
  <c r="M94" i="1" s="1"/>
  <c r="K95" i="1"/>
  <c r="L95" i="1" s="1"/>
  <c r="M95" i="1" s="1"/>
  <c r="K96" i="1"/>
  <c r="L96" i="1" s="1"/>
  <c r="M96" i="1" s="1"/>
  <c r="K97" i="1"/>
  <c r="L97" i="1" s="1"/>
  <c r="M97" i="1" s="1"/>
  <c r="K98" i="1"/>
  <c r="L98" i="1" s="1"/>
  <c r="M98" i="1" s="1"/>
  <c r="K99" i="1"/>
  <c r="L99" i="1" s="1"/>
  <c r="M99" i="1" s="1"/>
  <c r="K100" i="1"/>
  <c r="L100" i="1" s="1"/>
  <c r="M100" i="1" s="1"/>
  <c r="K101" i="1"/>
  <c r="L101" i="1" s="1"/>
  <c r="M101" i="1" s="1"/>
  <c r="K102" i="1"/>
  <c r="L102" i="1" s="1"/>
  <c r="M102" i="1" s="1"/>
  <c r="K103" i="1"/>
  <c r="L103" i="1" s="1"/>
  <c r="M103" i="1" s="1"/>
  <c r="K104" i="1"/>
  <c r="L104" i="1" s="1"/>
  <c r="M104" i="1" s="1"/>
  <c r="K105" i="1"/>
  <c r="L105" i="1" s="1"/>
  <c r="M105" i="1" s="1"/>
  <c r="K106" i="1"/>
  <c r="L106" i="1" s="1"/>
  <c r="M106" i="1" s="1"/>
  <c r="K107" i="1"/>
  <c r="L107" i="1" s="1"/>
  <c r="M107" i="1" s="1"/>
  <c r="K108" i="1"/>
  <c r="L108" i="1" s="1"/>
  <c r="M108" i="1" s="1"/>
  <c r="K109" i="1"/>
  <c r="L109" i="1" s="1"/>
  <c r="M109" i="1" s="1"/>
  <c r="K110" i="1"/>
  <c r="L110" i="1" s="1"/>
  <c r="M110" i="1" s="1"/>
  <c r="K111" i="1"/>
  <c r="L111" i="1" s="1"/>
  <c r="M111" i="1" s="1"/>
  <c r="K112" i="1"/>
  <c r="L112" i="1" s="1"/>
  <c r="M112" i="1" s="1"/>
  <c r="K113" i="1"/>
  <c r="L113" i="1" s="1"/>
  <c r="M113" i="1" s="1"/>
  <c r="K114" i="1"/>
  <c r="L114" i="1" s="1"/>
  <c r="M114" i="1" s="1"/>
  <c r="K115" i="1"/>
  <c r="L115" i="1" s="1"/>
  <c r="M115" i="1" s="1"/>
  <c r="K116" i="1"/>
  <c r="L116" i="1" s="1"/>
  <c r="M116" i="1" s="1"/>
  <c r="K117" i="1"/>
  <c r="L117" i="1" s="1"/>
  <c r="M117" i="1" s="1"/>
  <c r="K118" i="1"/>
  <c r="L118" i="1" s="1"/>
  <c r="M118" i="1" s="1"/>
  <c r="K119" i="1"/>
  <c r="L119" i="1" s="1"/>
  <c r="M119" i="1" s="1"/>
  <c r="K120" i="1"/>
  <c r="L120" i="1" s="1"/>
  <c r="M120" i="1" s="1"/>
  <c r="K121" i="1"/>
  <c r="L121" i="1" s="1"/>
  <c r="M121" i="1" s="1"/>
  <c r="K122" i="1"/>
  <c r="L122" i="1" s="1"/>
  <c r="M122" i="1" s="1"/>
  <c r="K123" i="1"/>
  <c r="L123" i="1" s="1"/>
  <c r="M123" i="1" s="1"/>
  <c r="K124" i="1"/>
  <c r="L124" i="1" s="1"/>
  <c r="M124" i="1" s="1"/>
  <c r="K125" i="1"/>
  <c r="L125" i="1" s="1"/>
  <c r="M125" i="1" s="1"/>
  <c r="K126" i="1"/>
  <c r="L126" i="1" s="1"/>
  <c r="M126" i="1" s="1"/>
  <c r="K127" i="1"/>
  <c r="L127" i="1" s="1"/>
  <c r="M127" i="1" s="1"/>
  <c r="K128" i="1"/>
  <c r="L128" i="1" s="1"/>
  <c r="M128" i="1" s="1"/>
  <c r="K129" i="1"/>
  <c r="L129" i="1" s="1"/>
  <c r="M129" i="1" s="1"/>
  <c r="K130" i="1"/>
  <c r="L130" i="1" s="1"/>
  <c r="M130" i="1" s="1"/>
  <c r="K131" i="1"/>
  <c r="L131" i="1" s="1"/>
  <c r="M131" i="1" s="1"/>
  <c r="K132" i="1"/>
  <c r="L132" i="1" s="1"/>
  <c r="M132" i="1" s="1"/>
  <c r="K133" i="1"/>
  <c r="L133" i="1" s="1"/>
  <c r="M133" i="1" s="1"/>
  <c r="K134" i="1"/>
  <c r="L134" i="1" s="1"/>
  <c r="M134" i="1" s="1"/>
  <c r="K135" i="1"/>
  <c r="L135" i="1" s="1"/>
  <c r="M135" i="1" s="1"/>
  <c r="K136" i="1"/>
  <c r="L136" i="1" s="1"/>
  <c r="M136" i="1" s="1"/>
  <c r="K137" i="1"/>
  <c r="L137" i="1" s="1"/>
  <c r="M137" i="1" s="1"/>
  <c r="K138" i="1"/>
  <c r="L138" i="1" s="1"/>
  <c r="M138" i="1" s="1"/>
  <c r="K139" i="1"/>
  <c r="L139" i="1" s="1"/>
  <c r="M139" i="1" s="1"/>
  <c r="K140" i="1"/>
  <c r="L140" i="1" s="1"/>
  <c r="M140" i="1" s="1"/>
  <c r="K141" i="1"/>
  <c r="L141" i="1" s="1"/>
  <c r="M141" i="1" s="1"/>
  <c r="K142" i="1"/>
  <c r="L142" i="1" s="1"/>
  <c r="M142" i="1" s="1"/>
  <c r="K143" i="1"/>
  <c r="L143" i="1" s="1"/>
  <c r="M143" i="1" s="1"/>
  <c r="K144" i="1"/>
  <c r="L144" i="1" s="1"/>
  <c r="M144" i="1" s="1"/>
  <c r="K145" i="1"/>
  <c r="L145" i="1" s="1"/>
  <c r="M145" i="1" s="1"/>
  <c r="K146" i="1"/>
  <c r="L146" i="1" s="1"/>
  <c r="M146" i="1" s="1"/>
  <c r="K147" i="1"/>
  <c r="L147" i="1" s="1"/>
  <c r="M147" i="1" s="1"/>
  <c r="K148" i="1"/>
  <c r="L148" i="1" s="1"/>
  <c r="M148" i="1" s="1"/>
  <c r="K149" i="1"/>
  <c r="L149" i="1" s="1"/>
  <c r="M149" i="1" s="1"/>
  <c r="K150" i="1"/>
  <c r="L150" i="1" s="1"/>
  <c r="M150" i="1" s="1"/>
  <c r="K151" i="1"/>
  <c r="L151" i="1" s="1"/>
  <c r="M151" i="1" s="1"/>
  <c r="K152" i="1"/>
  <c r="L152" i="1" s="1"/>
  <c r="M152" i="1" s="1"/>
  <c r="K153" i="1"/>
  <c r="L153" i="1" s="1"/>
  <c r="M153" i="1" s="1"/>
  <c r="K154" i="1"/>
  <c r="L154" i="1" s="1"/>
  <c r="M154" i="1" s="1"/>
  <c r="K155" i="1"/>
  <c r="L155" i="1" s="1"/>
  <c r="M155" i="1" s="1"/>
  <c r="K156" i="1"/>
  <c r="L156" i="1" s="1"/>
  <c r="M156" i="1" s="1"/>
  <c r="K157" i="1"/>
  <c r="L157" i="1" s="1"/>
  <c r="M157" i="1" s="1"/>
  <c r="K158" i="1"/>
  <c r="L158" i="1" s="1"/>
  <c r="M158" i="1" s="1"/>
  <c r="K159" i="1"/>
  <c r="L159" i="1" s="1"/>
  <c r="M159" i="1" s="1"/>
  <c r="K160" i="1"/>
  <c r="L160" i="1" s="1"/>
  <c r="M160" i="1" s="1"/>
  <c r="K161" i="1"/>
  <c r="L161" i="1" s="1"/>
  <c r="M161" i="1" s="1"/>
  <c r="K162" i="1"/>
  <c r="L162" i="1" s="1"/>
  <c r="M162" i="1" s="1"/>
  <c r="K163" i="1"/>
  <c r="L163" i="1" s="1"/>
  <c r="M163" i="1" s="1"/>
  <c r="K164" i="1"/>
  <c r="L164" i="1" s="1"/>
  <c r="M164" i="1" s="1"/>
  <c r="K165" i="1"/>
  <c r="L165" i="1" s="1"/>
  <c r="M165" i="1" s="1"/>
  <c r="K166" i="1"/>
  <c r="L166" i="1" s="1"/>
  <c r="M166" i="1" s="1"/>
  <c r="K167" i="1"/>
  <c r="L167" i="1" s="1"/>
  <c r="M167" i="1" s="1"/>
  <c r="K168" i="1"/>
  <c r="L168" i="1" s="1"/>
  <c r="M168" i="1" s="1"/>
  <c r="K169" i="1"/>
  <c r="L169" i="1" s="1"/>
  <c r="M169" i="1" s="1"/>
  <c r="K170" i="1"/>
  <c r="L170" i="1" s="1"/>
  <c r="M170" i="1" s="1"/>
  <c r="K171" i="1"/>
  <c r="L171" i="1" s="1"/>
  <c r="M171" i="1" s="1"/>
  <c r="K172" i="1"/>
  <c r="L172" i="1" s="1"/>
  <c r="M172" i="1" s="1"/>
  <c r="K173" i="1"/>
  <c r="L173" i="1" s="1"/>
  <c r="M173" i="1" s="1"/>
  <c r="K174" i="1"/>
  <c r="L174" i="1" s="1"/>
  <c r="M174" i="1" s="1"/>
  <c r="K175" i="1"/>
  <c r="L175" i="1" s="1"/>
  <c r="M175" i="1" s="1"/>
  <c r="K176" i="1"/>
  <c r="L176" i="1" s="1"/>
  <c r="M176" i="1" s="1"/>
  <c r="K177" i="1"/>
  <c r="L177" i="1" s="1"/>
  <c r="M177" i="1" s="1"/>
  <c r="K178" i="1"/>
  <c r="L178" i="1" s="1"/>
  <c r="M178" i="1" s="1"/>
  <c r="K179" i="1"/>
  <c r="L179" i="1" s="1"/>
  <c r="M179" i="1" s="1"/>
  <c r="K180" i="1"/>
  <c r="L180" i="1" s="1"/>
  <c r="M180" i="1" s="1"/>
  <c r="K181" i="1"/>
  <c r="L181" i="1" s="1"/>
  <c r="M181" i="1" s="1"/>
  <c r="K182" i="1"/>
  <c r="L182" i="1" s="1"/>
  <c r="M182" i="1" s="1"/>
  <c r="K183" i="1"/>
  <c r="L183" i="1" s="1"/>
  <c r="M183" i="1" s="1"/>
  <c r="K184" i="1"/>
  <c r="L184" i="1" s="1"/>
  <c r="M184" i="1" s="1"/>
  <c r="K185" i="1"/>
  <c r="L185" i="1" s="1"/>
  <c r="M185" i="1" s="1"/>
  <c r="K186" i="1"/>
  <c r="L186" i="1" s="1"/>
  <c r="M186" i="1" s="1"/>
  <c r="K187" i="1"/>
  <c r="L187" i="1" s="1"/>
  <c r="M187" i="1" s="1"/>
  <c r="K188" i="1"/>
  <c r="L188" i="1" s="1"/>
  <c r="M188" i="1" s="1"/>
  <c r="K189" i="1"/>
  <c r="L189" i="1" s="1"/>
  <c r="M189" i="1" s="1"/>
  <c r="K190" i="1"/>
  <c r="L190" i="1" s="1"/>
  <c r="M190" i="1" s="1"/>
  <c r="K191" i="1"/>
  <c r="L191" i="1" s="1"/>
  <c r="M191" i="1" s="1"/>
  <c r="K192" i="1"/>
  <c r="L192" i="1" s="1"/>
  <c r="M192" i="1" s="1"/>
  <c r="K193" i="1"/>
  <c r="L193" i="1" s="1"/>
  <c r="M193" i="1" s="1"/>
  <c r="K194" i="1"/>
  <c r="L194" i="1" s="1"/>
  <c r="M194" i="1" s="1"/>
  <c r="K195" i="1"/>
  <c r="L195" i="1" s="1"/>
  <c r="M195" i="1" s="1"/>
  <c r="K196" i="1"/>
  <c r="L196" i="1" s="1"/>
  <c r="M196" i="1" s="1"/>
  <c r="K197" i="1"/>
  <c r="L197" i="1" s="1"/>
  <c r="M197" i="1" s="1"/>
  <c r="K198" i="1"/>
  <c r="L198" i="1" s="1"/>
  <c r="M198" i="1" s="1"/>
  <c r="K199" i="1"/>
  <c r="L199" i="1" s="1"/>
  <c r="M199" i="1" s="1"/>
  <c r="K200" i="1"/>
  <c r="L200" i="1" s="1"/>
  <c r="M200" i="1" s="1"/>
  <c r="K201" i="1"/>
  <c r="L201" i="1" s="1"/>
  <c r="M201" i="1" s="1"/>
  <c r="K202" i="1"/>
  <c r="L202" i="1" s="1"/>
  <c r="M202" i="1" s="1"/>
  <c r="K203" i="1"/>
  <c r="L203" i="1" s="1"/>
  <c r="M203" i="1" s="1"/>
  <c r="K204" i="1"/>
  <c r="L204" i="1" s="1"/>
  <c r="M204" i="1" s="1"/>
  <c r="K205" i="1"/>
  <c r="L205" i="1" s="1"/>
  <c r="M205" i="1" s="1"/>
  <c r="K206" i="1"/>
  <c r="L206" i="1" s="1"/>
  <c r="M206" i="1" s="1"/>
  <c r="K207" i="1"/>
  <c r="L207" i="1" s="1"/>
  <c r="M207" i="1" s="1"/>
  <c r="K208" i="1"/>
  <c r="L208" i="1" s="1"/>
  <c r="M208" i="1" s="1"/>
  <c r="K209" i="1"/>
  <c r="L209" i="1" s="1"/>
  <c r="M209" i="1" s="1"/>
  <c r="K210" i="1"/>
  <c r="L210" i="1" s="1"/>
  <c r="M210" i="1" s="1"/>
  <c r="K211" i="1"/>
  <c r="L211" i="1" s="1"/>
  <c r="M211" i="1" s="1"/>
  <c r="K212" i="1"/>
  <c r="L212" i="1" s="1"/>
  <c r="M212" i="1" s="1"/>
  <c r="K213" i="1"/>
  <c r="L213" i="1" s="1"/>
  <c r="M213" i="1" s="1"/>
  <c r="K214" i="1"/>
  <c r="L214" i="1" s="1"/>
  <c r="M214" i="1" s="1"/>
  <c r="K215" i="1"/>
  <c r="L215" i="1" s="1"/>
  <c r="M215" i="1" s="1"/>
  <c r="K216" i="1"/>
  <c r="L216" i="1" s="1"/>
  <c r="M216" i="1" s="1"/>
  <c r="K217" i="1"/>
  <c r="L217" i="1" s="1"/>
  <c r="M217" i="1" s="1"/>
  <c r="K218" i="1"/>
  <c r="L218" i="1" s="1"/>
  <c r="M218" i="1" s="1"/>
  <c r="K219" i="1"/>
  <c r="L219" i="1" s="1"/>
  <c r="M219" i="1" s="1"/>
  <c r="K220" i="1"/>
  <c r="L220" i="1" s="1"/>
  <c r="M220" i="1" s="1"/>
  <c r="K221" i="1"/>
  <c r="L221" i="1" s="1"/>
  <c r="M221" i="1" s="1"/>
  <c r="K222" i="1"/>
  <c r="L222" i="1" s="1"/>
  <c r="M222" i="1" s="1"/>
  <c r="K223" i="1"/>
  <c r="L223" i="1" s="1"/>
  <c r="M223" i="1" s="1"/>
  <c r="K224" i="1"/>
  <c r="L224" i="1" s="1"/>
  <c r="M224" i="1" s="1"/>
  <c r="K225" i="1"/>
  <c r="L225" i="1" s="1"/>
  <c r="M225" i="1" s="1"/>
  <c r="K226" i="1"/>
  <c r="L226" i="1" s="1"/>
  <c r="M226" i="1" s="1"/>
  <c r="K227" i="1"/>
  <c r="L227" i="1" s="1"/>
  <c r="M227" i="1" s="1"/>
  <c r="K228" i="1"/>
  <c r="L228" i="1" s="1"/>
  <c r="M228" i="1" s="1"/>
  <c r="K229" i="1"/>
  <c r="L229" i="1" s="1"/>
  <c r="M229" i="1" s="1"/>
  <c r="K230" i="1"/>
  <c r="L230" i="1" s="1"/>
  <c r="M230" i="1" s="1"/>
  <c r="K231" i="1"/>
  <c r="L231" i="1" s="1"/>
  <c r="M231" i="1" s="1"/>
  <c r="K232" i="1"/>
  <c r="L232" i="1" s="1"/>
  <c r="M232" i="1" s="1"/>
  <c r="K233" i="1"/>
  <c r="L233" i="1" s="1"/>
  <c r="M233" i="1" s="1"/>
  <c r="K234" i="1"/>
  <c r="L234" i="1" s="1"/>
  <c r="M234" i="1" s="1"/>
  <c r="K235" i="1"/>
  <c r="L235" i="1" s="1"/>
  <c r="M235" i="1" s="1"/>
  <c r="K236" i="1"/>
  <c r="L236" i="1" s="1"/>
  <c r="M236" i="1" s="1"/>
  <c r="K237" i="1"/>
  <c r="L237" i="1" s="1"/>
  <c r="M237" i="1" s="1"/>
  <c r="K238" i="1"/>
  <c r="L238" i="1" s="1"/>
  <c r="M238" i="1" s="1"/>
  <c r="K239" i="1"/>
  <c r="L239" i="1" s="1"/>
  <c r="M239" i="1" s="1"/>
  <c r="K240" i="1"/>
  <c r="L240" i="1" s="1"/>
  <c r="M240" i="1" s="1"/>
  <c r="K241" i="1"/>
  <c r="L241" i="1" s="1"/>
  <c r="M241" i="1" s="1"/>
  <c r="Y9" i="1" l="1"/>
  <c r="Y8" i="1"/>
  <c r="Y7" i="1"/>
  <c r="Y6" i="1"/>
  <c r="Y5" i="1"/>
  <c r="Y4" i="1"/>
  <c r="AA5" i="1"/>
  <c r="AA4" i="1"/>
  <c r="AA14" i="1"/>
  <c r="AA8" i="1"/>
  <c r="AA9" i="1"/>
  <c r="AA12" i="1"/>
  <c r="AA13" i="1"/>
  <c r="AA6" i="1"/>
  <c r="AA7" i="1"/>
  <c r="AA11" i="1"/>
  <c r="AA10" i="1"/>
  <c r="G121" i="3" l="1"/>
  <c r="G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</calcChain>
</file>

<file path=xl/sharedStrings.xml><?xml version="1.0" encoding="utf-8"?>
<sst xmlns="http://schemas.openxmlformats.org/spreadsheetml/2006/main" count="1966" uniqueCount="272">
  <si>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</si>
  <si>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</si>
  <si>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</si>
  <si>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</si>
  <si>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</si>
  <si>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</si>
  <si>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</si>
  <si>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Region</t>
  </si>
  <si>
    <t>Payment Method</t>
  </si>
  <si>
    <t>Electronics</t>
  </si>
  <si>
    <t>iPhone 14 Pro</t>
  </si>
  <si>
    <t>North America</t>
  </si>
  <si>
    <t>Credit Card</t>
  </si>
  <si>
    <t>Home Appliances</t>
  </si>
  <si>
    <t>Dyson V11 Vacuum</t>
  </si>
  <si>
    <t>Europe</t>
  </si>
  <si>
    <t>PayPal</t>
  </si>
  <si>
    <t>Clothing</t>
  </si>
  <si>
    <t>Levi's 501 Jeans</t>
  </si>
  <si>
    <t>Asia</t>
  </si>
  <si>
    <t>Debit Card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</si>
  <si>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</si>
  <si>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</si>
  <si>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</si>
  <si>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</si>
  <si>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</si>
  <si>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</si>
  <si>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MacBook Pro 16-inch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</si>
  <si>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</si>
  <si>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</si>
  <si>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</si>
  <si>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</si>
  <si>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</si>
  <si>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</si>
  <si>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</si>
  <si>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</si>
  <si>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</si>
  <si>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</si>
  <si>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</si>
  <si>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</si>
  <si>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</si>
  <si>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</si>
  <si>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</si>
  <si>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</si>
  <si>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</si>
  <si>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</si>
  <si>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</si>
  <si>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</si>
  <si>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</si>
  <si>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</si>
  <si>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</si>
  <si>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</si>
  <si>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</si>
  <si>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</si>
  <si>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</si>
  <si>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</si>
  <si>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</si>
  <si>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</si>
  <si>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</si>
  <si>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</si>
  <si>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</si>
  <si>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</si>
  <si>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</si>
  <si>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</si>
  <si>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</si>
  <si>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</si>
  <si>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</si>
  <si>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</si>
  <si>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</si>
  <si>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</si>
  <si>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</si>
  <si>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</si>
  <si>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</si>
  <si>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</si>
  <si>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</si>
  <si>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Anker PowerCore Portable Charger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</si>
  <si>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</si>
  <si>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</si>
  <si>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</si>
  <si>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</si>
  <si>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</si>
  <si>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</si>
  <si>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</si>
  <si>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</si>
  <si>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</si>
  <si>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</si>
  <si>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</si>
  <si>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</si>
  <si>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</si>
  <si>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</si>
  <si>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</si>
  <si>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</si>
  <si>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</si>
  <si>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</si>
  <si>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</si>
  <si>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</si>
  <si>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</si>
  <si>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</si>
  <si>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</si>
  <si>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</si>
  <si>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</si>
  <si>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</si>
  <si>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</si>
  <si>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</si>
  <si>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</si>
  <si>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Ring Video Doorbell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</si>
  <si>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</si>
  <si>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</si>
  <si>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</si>
  <si>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</si>
  <si>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</si>
  <si>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</si>
  <si>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</si>
  <si>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</si>
  <si>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</si>
  <si>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</si>
  <si>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</si>
  <si>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</si>
  <si>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</si>
  <si>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</si>
  <si>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The Power of Now by Eckhart Tolle</t>
  </si>
  <si>
    <t>Kiehl's Midnight Recovery Concentrate</t>
  </si>
  <si>
    <t>Under Armour HOVR Sonic 4 Shoes</t>
  </si>
  <si>
    <t>Canon EOS R5 Camera</t>
  </si>
  <si>
    <t>Shark IQ Robot Vacuum</t>
  </si>
  <si>
    <t>H&amp;M Slim Fit Jeans</t>
  </si>
  <si>
    <t>The Girl on the Train by Paula Hawkins</t>
  </si>
  <si>
    <t>The Ordinary Niacinamide Serum</t>
  </si>
  <si>
    <t>Bowflex SelectTech 552 Dumbbells</t>
  </si>
  <si>
    <t>Google Nest Hub Max</t>
  </si>
  <si>
    <t>Cuisinart Griddler Deluxe</t>
  </si>
  <si>
    <t>Old Navy Relaxed-Fit T-Shirt</t>
  </si>
  <si>
    <t>Sapiens: A Brief History of Humankind by Yuval Noah Harari</t>
  </si>
  <si>
    <t>Biore UV Aqua Rich Watery Essence Sunscreen</t>
  </si>
  <si>
    <t>Fitbit Versa 3</t>
  </si>
  <si>
    <t>Amazon Echo Show 10</t>
  </si>
  <si>
    <t>Breville Smart Grill</t>
  </si>
  <si>
    <t>Gap High Rise Skinny Jeans</t>
  </si>
  <si>
    <t>Atomic Habits by James Clear</t>
  </si>
  <si>
    <t>CeraVe Hydrating Facial Cleanser</t>
  </si>
  <si>
    <t>YETI Hopper Flip Portable Cooler</t>
  </si>
  <si>
    <t>Apple iPad Air</t>
  </si>
  <si>
    <t>Hamilton Beach FlexBrew Coffee Maker</t>
  </si>
  <si>
    <t>Forever 21 Graphic Tee</t>
  </si>
  <si>
    <t>The Subtle Art of Not Giving a F*ck by Mark Manson</t>
  </si>
  <si>
    <t>NARS Radiant Creamy Concealer</t>
  </si>
  <si>
    <t>Yeti Roadie 24 Cooler</t>
  </si>
  <si>
    <t>Sony PlayStation 5</t>
  </si>
  <si>
    <t>Lululemon Align Leggings</t>
  </si>
  <si>
    <t>The Four Agreements by Don Miguel Ruiz</t>
  </si>
  <si>
    <t>Fenty Beauty Killawatt Highlighter</t>
  </si>
  <si>
    <t>Hydro Flask Wide Mouth Water Bottle</t>
  </si>
  <si>
    <t>Microsoft Surface Laptop 4</t>
  </si>
  <si>
    <t>Keurig K-Mini Coffee Maker</t>
  </si>
  <si>
    <t>Gap Crewneck Sweatshirt</t>
  </si>
  <si>
    <t>Think and Grow Rich by Napoleon Hill</t>
  </si>
  <si>
    <t>The Ordinary Hyaluronic Acid Serum</t>
  </si>
  <si>
    <t>Fitbit Inspire 2</t>
  </si>
  <si>
    <t>Samsung Odyssey G9 Gaming Monitor</t>
  </si>
  <si>
    <t>Instant Pot Ultra</t>
  </si>
  <si>
    <t>Adidas Essential Track Pants</t>
  </si>
  <si>
    <t>The Power of Habit by Charles Duhigg</t>
  </si>
  <si>
    <t>Clinique Dramatically Different Moisturizing Lotion</t>
  </si>
  <si>
    <t>YETI Tundra 45 Cooler</t>
  </si>
  <si>
    <t>Apple AirPods Max</t>
  </si>
  <si>
    <t>Cuisinart Coffee Center</t>
  </si>
  <si>
    <t>Levi's Sherpa Trucker Jacket</t>
  </si>
  <si>
    <t>The Outsiders by S.E. Hinton</t>
  </si>
  <si>
    <t>Laneige Water Sleeping Mask</t>
  </si>
  <si>
    <t>Bose SoundSport Wireless Earbuds</t>
  </si>
  <si>
    <t>Ninja Foodi Pressure Cooker</t>
  </si>
  <si>
    <t>Nike Sportswear Club Fleece Hoodie</t>
  </si>
  <si>
    <t>The Night Circus by Erin Morgenstern</t>
  </si>
  <si>
    <t>GlamGlow Supermud Clearing Treatment</t>
  </si>
  <si>
    <t>Garmin Forerunner 245</t>
  </si>
  <si>
    <t>Google Pixel 6 Pro</t>
  </si>
  <si>
    <t>Breville Nespresso Creatista Plus</t>
  </si>
  <si>
    <t>Under Armour Tech 2.0 T-Shirt</t>
  </si>
  <si>
    <t>The Art of War by Sun Tzu</t>
  </si>
  <si>
    <t>Youth to the People Superfood Antioxidant Cleanser</t>
  </si>
  <si>
    <t>TriggerPoint GRID Foam Roller</t>
  </si>
  <si>
    <t>Apple MacBook Air</t>
  </si>
  <si>
    <t>Cuisinart Custom 14-Cup Food Processor</t>
  </si>
  <si>
    <t>Adidas 3-Stripes Shorts</t>
  </si>
  <si>
    <t>The Hunger Games by Suzanne Collins</t>
  </si>
  <si>
    <t>Neutrogena Hydro Boost Water Gel</t>
  </si>
  <si>
    <t>Yeti Rambler Bottle</t>
  </si>
  <si>
    <t>Samsung Odyssey G7 Gaming Monitor</t>
  </si>
  <si>
    <t>Instant Pot Duo Evo Plus</t>
  </si>
  <si>
    <t>Nike Tempo Running Shorts</t>
  </si>
  <si>
    <t>The Girl with the Dragon Tattoo by Stieg Larsson</t>
  </si>
  <si>
    <t>Paula's Choice Skin Perfecting 2% BHA Liquid Exfoliant</t>
  </si>
  <si>
    <t>Bowflex SelectTech 1090 Adjustable Dumbbells</t>
  </si>
  <si>
    <t>Amazon Fire TV Stick 4K</t>
  </si>
  <si>
    <t>Crock-Pot 6-Quart Slow Cooker</t>
  </si>
  <si>
    <t>Uniqlo Airism Mesh Boxer Briefs</t>
  </si>
  <si>
    <t>The Sun Also Rises by Ernest Hemingway</t>
  </si>
  <si>
    <t>First Aid Beauty Ultra Repair Cream</t>
  </si>
  <si>
    <t>Oakley Holbrook Sunglasses</t>
  </si>
  <si>
    <t>Google Pixelbook Go</t>
  </si>
  <si>
    <t>Dyson V8 Absolute</t>
  </si>
  <si>
    <t>Levi's 511 Slim Fit Jeans</t>
  </si>
  <si>
    <t>The Martian by Andy Weir</t>
  </si>
  <si>
    <t>La Mer CrÃ¨me de la Mer Moisturizer</t>
  </si>
  <si>
    <t>Polar Vantage V2</t>
  </si>
  <si>
    <t>Sonos Beam Soundbar</t>
  </si>
  <si>
    <t>Anova Precision Cooker</t>
  </si>
  <si>
    <t>Nike Dri-FIT Training Shorts</t>
  </si>
  <si>
    <t>Glossier Cloud Paint</t>
  </si>
  <si>
    <t>TRX All-in-One Suspension Training System</t>
  </si>
  <si>
    <t>Logitech G Pro X Wireless Gaming Headset</t>
  </si>
  <si>
    <t>Breville Smart Coffee Grinder Pro</t>
  </si>
  <si>
    <t>Adidas Ultraboost Running Shoes</t>
  </si>
  <si>
    <t>The Road by Cormac McCarthy</t>
  </si>
  <si>
    <t>Tom Ford Black Orchid Perfume</t>
  </si>
  <si>
    <t>GoPro HERO9 Black</t>
  </si>
  <si>
    <t>Apple TV 4K</t>
  </si>
  <si>
    <t>Instant Pot Duo Nova</t>
  </si>
  <si>
    <t>Gap 1969 Original Fit Jeans</t>
  </si>
  <si>
    <t>The Goldfinch by Donna Tartt</t>
  </si>
  <si>
    <t>Dr. Jart+ Cicapair Tiger Grass Color Correcting Treatment</t>
  </si>
  <si>
    <t>Yeti Tundra Haul Portable Wheeled Cooler</t>
  </si>
  <si>
    <t>Samsung Galaxy Watch 4</t>
  </si>
  <si>
    <t>KitchenAid Stand Mixer</t>
  </si>
  <si>
    <t>Lululemon Wunder Under High-Rise Leggings</t>
  </si>
  <si>
    <t>The Great Alone by Kristin Hannah</t>
  </si>
  <si>
    <t>Caudalie Vinoperfect Radiance Serum</t>
  </si>
  <si>
    <t>Bose SoundLink Color Bluetooth Speaker II</t>
  </si>
  <si>
    <t>Canon EOS Rebel T7i DSLR Camera</t>
  </si>
  <si>
    <t>Uniqlo Airism Seamless Boxer Briefs</t>
  </si>
  <si>
    <t>L'Occitane Shea Butter Hand Cream</t>
  </si>
  <si>
    <t>YETI Tundra 65 Cooler</t>
  </si>
  <si>
    <t>Apple MacBook Pro 16-inch</t>
  </si>
  <si>
    <t>iRobot Braava Jet M6</t>
  </si>
  <si>
    <t>Champion Reverse Weave Hoodie</t>
  </si>
  <si>
    <t>The Nightingale by Kristin Hannah</t>
  </si>
  <si>
    <t>Tarte Shape Tape Concealer</t>
  </si>
  <si>
    <t>Amazon Echo Dot (4th Gen)</t>
  </si>
  <si>
    <t>Philips Sonicare DiamondClean Toothbrush</t>
  </si>
  <si>
    <t>Old Navy Mid-Rise Rockstar Super Skinny Jeans</t>
  </si>
  <si>
    <t>The Ordinary Caffeine Solution 5% + EGCG</t>
  </si>
  <si>
    <t>Fitbit Luxe</t>
  </si>
  <si>
    <t>Google Nest Wifi Router</t>
  </si>
  <si>
    <t>Anova Precision Oven</t>
  </si>
  <si>
    <t>Adidas Originals Trefoil Hoodie</t>
  </si>
  <si>
    <t>Fresh Sugar Lip Treatment</t>
  </si>
  <si>
    <t>Hydro Flask Standard Mouth Water Bottle</t>
  </si>
  <si>
    <t>Bose QuietComfort 35 II Wireless Headphones</t>
  </si>
  <si>
    <t>Nespresso Vertuo Next Coffee and Espresso Maker</t>
  </si>
  <si>
    <t>Nike Air Force 1 Sneakers</t>
  </si>
  <si>
    <t>The Handmaid's Tale by Margaret Atwood</t>
  </si>
  <si>
    <t>Sunday Riley Luna Sleeping Night Oil</t>
  </si>
  <si>
    <t>Yeti Rambler 20 oz Tumbler</t>
  </si>
  <si>
    <t>Revenue w/ tax</t>
  </si>
  <si>
    <t>Units sold from Asia</t>
  </si>
  <si>
    <t>Revenue from Electronics</t>
  </si>
  <si>
    <t>Revenue from Electronics in Asia</t>
  </si>
  <si>
    <t>count of europe</t>
  </si>
  <si>
    <t>total paypal payments</t>
  </si>
  <si>
    <t>total payments from debit card for clothing category</t>
  </si>
  <si>
    <t>Trimmed words</t>
  </si>
  <si>
    <t>iPhone     14 Pro</t>
  </si>
  <si>
    <t>Keurig  K-Elite  Coffee     Maker</t>
  </si>
  <si>
    <t>Upper function</t>
  </si>
  <si>
    <t>Lower Fucntion</t>
  </si>
  <si>
    <t>First 3 letters</t>
  </si>
  <si>
    <t>Middle letters</t>
  </si>
  <si>
    <t>Left 3 letters</t>
  </si>
  <si>
    <t>substitute functions</t>
  </si>
  <si>
    <t>replace function</t>
  </si>
  <si>
    <t>concat function</t>
  </si>
  <si>
    <t>text join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</si>
</sst>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0" fontId="18" fillId="33" borderId="11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34" borderId="10" xfId="0" applyNumberFormat="1" applyFont="1" applyFill="1" applyBorder="1" applyAlignment="1">
      <alignment horizontal="center" vertical="center"/>
    </xf>
    <xf numFmtId="0" fontId="0" fillId="34" borderId="10" xfId="0" applyFont="1" applyFill="1" applyBorder="1" applyAlignment="1">
      <alignment horizontal="center" vertical="center"/>
    </xf>
    <xf numFmtId="0" fontId="0" fillId="34" borderId="15" xfId="0" applyFont="1" applyFill="1" applyBorder="1" applyAlignment="1">
      <alignment horizontal="center" vertical="center"/>
    </xf>
    <xf numFmtId="14" fontId="0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34" borderId="12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T241" totalsRowShown="0" headerRowDxfId="24" dataDxfId="22" headerRowBorderDxfId="23" tableBorderDxfId="21" totalsRowBorderDxfId="20">
  <autoFilter ref="A1:T241"/>
  <tableColumns count="20">
    <tableColumn id="1" name="Transaction ID" dataDxfId="19"/>
    <tableColumn id="2" name="Date" dataDxfId="18"/>
    <tableColumn id="3" name="Product Category" dataDxfId="17"/>
    <tableColumn id="4" name="Product Name" dataDxfId="16"/>
    <tableColumn id="5" name="Units Sold" dataDxfId="15"/>
    <tableColumn id="6" name="Unit Price" dataDxfId="14"/>
    <tableColumn id="7" name="Total Revenue" dataDxfId="13"/>
    <tableColumn id="8" name="Region" dataDxfId="12"/>
    <tableColumn id="9" name="Payment Method" dataDxfId="11"/>
    <tableColumn id="10" name="Revenue w/ tax" dataDxfId="10">
      <calculatedColumnFormula>(Table1[[#This Row],[Total Revenue]] * 0.18) + Table1[[#This Row],[Total Revenue]]</calculatedColumnFormula>
    </tableColumn>
    <tableColumn id="11" name="Trimmed words" dataDxfId="9">
      <calculatedColumnFormula>TRIM(Table1[[#This Row],[Product Name]])</calculatedColumnFormula>
    </tableColumn>
    <tableColumn id="12" name="Upper function" dataDxfId="8">
      <calculatedColumnFormula>UPPER(Table1[[#This Row],[Trimmed words]])</calculatedColumnFormula>
    </tableColumn>
    <tableColumn id="13" name="Lower Fucntion" dataDxfId="7">
      <calculatedColumnFormula>LOWER(Table1[[#This Row],[Upper function]])</calculatedColumnFormula>
    </tableColumn>
    <tableColumn id="14" name="First 3 letters" dataDxfId="6">
      <calculatedColumnFormula>LEFT(C2, 3)</calculatedColumnFormula>
    </tableColumn>
    <tableColumn id="15" name="Middle letters" dataDxfId="5">
      <calculatedColumnFormula>MID(C2, 4, 8)</calculatedColumnFormula>
    </tableColumn>
    <tableColumn id="16" name="Left 3 letters" dataDxfId="4">
      <calculatedColumnFormula>RIGHT(C2, 7)</calculatedColumnFormula>
    </tableColumn>
    <tableColumn id="17" name="substitute functions" dataDxfId="2">
      <calculatedColumnFormula>SUBSTITUTE(C2, "a", "word")</calculatedColumnFormula>
    </tableColumn>
    <tableColumn id="18" name="replace function" dataDxfId="3">
      <calculatedColumnFormula>REPLACE(C2, 1, 2, "position")</calculatedColumnFormula>
    </tableColumn>
    <tableColumn id="19" name="concat function" dataDxfId="1">
      <calculatedColumnFormula>CONCATENATE(A2, "-", C2, "-", "(", H3, ")")</calculatedColumnFormula>
    </tableColumn>
    <tableColumn id="20" name="text join func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1"/>
  <sheetViews>
    <sheetView tabSelected="1" topLeftCell="N1" zoomScale="116" workbookViewId="0">
      <selection activeCell="V15" sqref="V15"/>
    </sheetView>
  </sheetViews>
  <sheetFormatPr defaultRowHeight="14.5" x14ac:dyDescent="0.35"/>
  <cols>
    <col min="1" max="1" width="13.81640625" customWidth="1"/>
    <col min="2" max="2" width="10.08984375" bestFit="1" customWidth="1"/>
    <col min="3" max="3" width="16" customWidth="1"/>
    <col min="4" max="4" width="51.1796875" bestFit="1" customWidth="1"/>
    <col min="5" max="5" width="10.54296875" customWidth="1"/>
    <col min="6" max="6" width="10.26953125" customWidth="1"/>
    <col min="7" max="7" width="13.7265625" customWidth="1"/>
    <col min="8" max="8" width="13" bestFit="1" customWidth="1"/>
    <col min="9" max="9" width="16.08984375" customWidth="1"/>
    <col min="10" max="10" width="12.90625" customWidth="1"/>
    <col min="11" max="11" width="52.1796875" bestFit="1" customWidth="1"/>
    <col min="12" max="12" width="46.08984375" bestFit="1" customWidth="1"/>
    <col min="13" max="13" width="51.26953125" bestFit="1" customWidth="1"/>
    <col min="14" max="14" width="15.36328125" bestFit="1" customWidth="1"/>
    <col min="15" max="15" width="16.08984375" bestFit="1" customWidth="1"/>
    <col min="16" max="16" width="46.08984375" bestFit="1" customWidth="1"/>
    <col min="17" max="17" width="20.7265625" bestFit="1" customWidth="1"/>
    <col min="18" max="18" width="20" bestFit="1" customWidth="1"/>
    <col min="19" max="19" width="28" bestFit="1" customWidth="1"/>
    <col min="20" max="20" width="18.6328125" bestFit="1" customWidth="1"/>
    <col min="24" max="24" width="45.36328125" bestFit="1" customWidth="1"/>
  </cols>
  <sheetData>
    <row r="1" spans="1:27" ht="24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253</v>
      </c>
      <c r="K1" s="25" t="s">
        <v>260</v>
      </c>
      <c r="L1" s="25" t="s">
        <v>263</v>
      </c>
      <c r="M1" s="25" t="s">
        <v>264</v>
      </c>
      <c r="N1" s="25" t="s">
        <v>265</v>
      </c>
      <c r="O1" s="25" t="s">
        <v>266</v>
      </c>
      <c r="P1" s="25" t="s">
        <v>267</v>
      </c>
      <c r="Q1" s="25" t="s">
        <v>268</v>
      </c>
      <c r="R1" s="25" t="s">
        <v>269</v>
      </c>
      <c r="S1" s="25" t="s">
        <v>270</v>
      </c>
      <c r="T1" s="25" t="s">
        <v>271</v>
      </c>
    </row>
    <row r="2" spans="1:27" x14ac:dyDescent="0.35">
      <c r="A2" s="4">
        <v>10001</v>
      </c>
      <c r="B2" s="5">
        <v>45292</v>
      </c>
      <c r="C2" s="6" t="s">
        <v>9</v>
      </c>
      <c r="D2" s="6" t="s">
        <v>261</v>
      </c>
      <c r="E2" s="6">
        <v>2</v>
      </c>
      <c r="F2" s="6">
        <v>999.99</v>
      </c>
      <c r="G2" s="6">
        <v>1999.98</v>
      </c>
      <c r="H2" s="6" t="s">
        <v>11</v>
      </c>
      <c r="I2" s="7" t="s">
        <v>12</v>
      </c>
      <c r="J2" s="21">
        <f>(Table1[[#This Row],[Total Revenue]] * 0.18) + Table1[[#This Row],[Total Revenue]]</f>
        <v>2359.9764</v>
      </c>
      <c r="K2" s="24" t="str">
        <f>TRIM(Table1[[#This Row],[Product Name]])</f>
        <v>iPhone 14 Pro</v>
      </c>
      <c r="L2" s="24" t="str">
        <f>UPPER(Table1[[#This Row],[Trimmed words]])</f>
        <v>IPHONE 14 PRO</v>
      </c>
      <c r="M2" s="26" t="str">
        <f>LOWER(Table1[[#This Row],[Upper function]])</f>
        <v>iphone 14 pro</v>
      </c>
      <c r="N2" s="26" t="str">
        <f t="shared" ref="N2:N65" si="0">LEFT(C2, 3)</f>
        <v>Ele</v>
      </c>
      <c r="O2" s="26" t="str">
        <f t="shared" ref="O2:O65" si="1">MID(C2, 4, 8)</f>
        <v>ctronics</v>
      </c>
      <c r="P2" s="27" t="str">
        <f t="shared" ref="P2:P65" si="2">RIGHT(C2, 7)</f>
        <v>tronics</v>
      </c>
      <c r="Q2" s="27" t="str">
        <f t="shared" ref="Q2:Q65" si="3">SUBSTITUTE(C2, "a", "word")</f>
        <v>Electronics</v>
      </c>
      <c r="R2" s="27" t="str">
        <f t="shared" ref="R2:R65" si="4">REPLACE(C2, 1, 2, "position")</f>
        <v>positionectronics</v>
      </c>
      <c r="S2" s="27" t="str">
        <f t="shared" ref="S2:S65" si="5">CONCATENATE(A2, "-", C2, "-", "(", H3, ")")</f>
        <v>10001-Electronics-(Europe)</v>
      </c>
      <c r="T2" s="27"/>
    </row>
    <row r="3" spans="1:27" x14ac:dyDescent="0.35">
      <c r="A3" s="4">
        <v>10002</v>
      </c>
      <c r="B3" s="5">
        <v>45293</v>
      </c>
      <c r="C3" s="6" t="s">
        <v>13</v>
      </c>
      <c r="D3" s="6" t="s">
        <v>14</v>
      </c>
      <c r="E3" s="6">
        <v>1</v>
      </c>
      <c r="F3" s="6">
        <v>499.99</v>
      </c>
      <c r="G3" s="6">
        <v>499.99</v>
      </c>
      <c r="H3" s="6" t="s">
        <v>15</v>
      </c>
      <c r="I3" s="7" t="s">
        <v>16</v>
      </c>
      <c r="J3" s="22">
        <f>(Table1[[#This Row],[Total Revenue]] * 0.18) + Table1[[#This Row],[Total Revenue]]</f>
        <v>589.98820000000001</v>
      </c>
      <c r="K3" s="6" t="str">
        <f>TRIM(Table1[[#This Row],[Product Name]])</f>
        <v>Dyson V11 Vacuum</v>
      </c>
      <c r="L3" s="6" t="str">
        <f>UPPER(Table1[[#This Row],[Trimmed words]])</f>
        <v>DYSON V11 VACUUM</v>
      </c>
      <c r="M3" s="26" t="str">
        <f>LOWER(Table1[[#This Row],[Upper function]])</f>
        <v>dyson v11 vacuum</v>
      </c>
      <c r="N3" s="26" t="str">
        <f t="shared" si="0"/>
        <v>Hom</v>
      </c>
      <c r="O3" s="26" t="str">
        <f t="shared" si="1"/>
        <v>e Applia</v>
      </c>
      <c r="P3" s="27" t="str">
        <f t="shared" si="2"/>
        <v>liances</v>
      </c>
      <c r="Q3" s="27" t="str">
        <f t="shared" si="3"/>
        <v>Home Appliwordnces</v>
      </c>
      <c r="R3" s="27" t="str">
        <f t="shared" si="4"/>
        <v>positionme Appliances</v>
      </c>
      <c r="S3" s="27" t="str">
        <f t="shared" si="5"/>
        <v>10002-Home Appliances-(Asia)</v>
      </c>
      <c r="T3" s="27"/>
    </row>
    <row r="4" spans="1:27" x14ac:dyDescent="0.35">
      <c r="A4" s="4">
        <v>10003</v>
      </c>
      <c r="B4" s="5">
        <v>45294</v>
      </c>
      <c r="C4" s="6" t="s">
        <v>17</v>
      </c>
      <c r="D4" s="6" t="s">
        <v>18</v>
      </c>
      <c r="E4" s="6">
        <v>3</v>
      </c>
      <c r="F4" s="6">
        <v>69.989999999999995</v>
      </c>
      <c r="G4" s="6">
        <v>209.97</v>
      </c>
      <c r="H4" s="6" t="s">
        <v>19</v>
      </c>
      <c r="I4" s="7" t="s">
        <v>20</v>
      </c>
      <c r="J4" s="22">
        <f>(Table1[[#This Row],[Total Revenue]] * 0.18) + Table1[[#This Row],[Total Revenue]]</f>
        <v>247.7646</v>
      </c>
      <c r="K4" s="6" t="str">
        <f>TRIM(Table1[[#This Row],[Product Name]])</f>
        <v>Levi's 501 Jeans</v>
      </c>
      <c r="L4" s="6" t="str">
        <f>UPPER(Table1[[#This Row],[Trimmed words]])</f>
        <v>LEVI'S 501 JEANS</v>
      </c>
      <c r="M4" s="26" t="str">
        <f>LOWER(Table1[[#This Row],[Upper function]])</f>
        <v>levi's 501 jeans</v>
      </c>
      <c r="N4" s="26" t="str">
        <f t="shared" si="0"/>
        <v>Clo</v>
      </c>
      <c r="O4" s="26" t="str">
        <f t="shared" si="1"/>
        <v>thing</v>
      </c>
      <c r="P4" s="27" t="str">
        <f t="shared" si="2"/>
        <v>lothing</v>
      </c>
      <c r="Q4" s="27" t="str">
        <f t="shared" si="3"/>
        <v>Clothing</v>
      </c>
      <c r="R4" s="27" t="str">
        <f t="shared" si="4"/>
        <v>positionothing</v>
      </c>
      <c r="S4" s="27" t="str">
        <f t="shared" si="5"/>
        <v>10003-Clothing-(North America)</v>
      </c>
      <c r="T4" s="27"/>
      <c r="X4" t="s">
        <v>255</v>
      </c>
      <c r="Y4">
        <f>SUMIF(C:C, "Electronics",G:G)</f>
        <v>34982.410000000011</v>
      </c>
      <c r="AA4" t="str">
        <f ca="1">_xlfn.FORMULATEXT(Y4)</f>
        <v>=SUMIF(C:C, "Electronics",G:G)</v>
      </c>
    </row>
    <row r="5" spans="1:27" x14ac:dyDescent="0.35">
      <c r="A5" s="4">
        <v>10004</v>
      </c>
      <c r="B5" s="5">
        <v>45295</v>
      </c>
      <c r="C5" s="6" t="s">
        <v>21</v>
      </c>
      <c r="D5" s="6" t="s">
        <v>22</v>
      </c>
      <c r="E5" s="6">
        <v>4</v>
      </c>
      <c r="F5" s="6">
        <v>15.99</v>
      </c>
      <c r="G5" s="6">
        <v>63.96</v>
      </c>
      <c r="H5" s="6" t="s">
        <v>11</v>
      </c>
      <c r="I5" s="7" t="s">
        <v>12</v>
      </c>
      <c r="J5" s="22">
        <f>(Table1[[#This Row],[Total Revenue]] * 0.18) + Table1[[#This Row],[Total Revenue]]</f>
        <v>75.472800000000007</v>
      </c>
      <c r="K5" s="6" t="str">
        <f>TRIM(Table1[[#This Row],[Product Name]])</f>
        <v>The Da Vinci Code</v>
      </c>
      <c r="L5" s="6" t="str">
        <f>UPPER(Table1[[#This Row],[Trimmed words]])</f>
        <v>THE DA VINCI CODE</v>
      </c>
      <c r="M5" s="26" t="str">
        <f>LOWER(Table1[[#This Row],[Upper function]])</f>
        <v>the da vinci code</v>
      </c>
      <c r="N5" s="26" t="str">
        <f t="shared" si="0"/>
        <v>Boo</v>
      </c>
      <c r="O5" s="26" t="str">
        <f t="shared" si="1"/>
        <v>ks</v>
      </c>
      <c r="P5" s="27" t="str">
        <f t="shared" si="2"/>
        <v>Books</v>
      </c>
      <c r="Q5" s="27" t="str">
        <f t="shared" si="3"/>
        <v>Books</v>
      </c>
      <c r="R5" s="27" t="str">
        <f t="shared" si="4"/>
        <v>positionoks</v>
      </c>
      <c r="S5" s="27" t="str">
        <f t="shared" si="5"/>
        <v>10004-Books-(Europe)</v>
      </c>
      <c r="T5" s="27"/>
      <c r="X5" t="s">
        <v>254</v>
      </c>
      <c r="Y5">
        <f>SUMIF(H:H, "Asia",E:E)</f>
        <v>233</v>
      </c>
      <c r="AA5" t="str">
        <f t="shared" ref="AA5:AA14" ca="1" si="6">_xlfn.FORMULATEXT(Y5)</f>
        <v>=SUMIF(H:H, "Asia",E:E)</v>
      </c>
    </row>
    <row r="6" spans="1:27" x14ac:dyDescent="0.35">
      <c r="A6" s="4">
        <v>10005</v>
      </c>
      <c r="B6" s="5">
        <v>45296</v>
      </c>
      <c r="C6" s="6" t="s">
        <v>23</v>
      </c>
      <c r="D6" s="6" t="s">
        <v>24</v>
      </c>
      <c r="E6" s="6">
        <v>1</v>
      </c>
      <c r="F6" s="6">
        <v>89.99</v>
      </c>
      <c r="G6" s="6">
        <v>89.99</v>
      </c>
      <c r="H6" s="6" t="s">
        <v>15</v>
      </c>
      <c r="I6" s="7" t="s">
        <v>16</v>
      </c>
      <c r="J6" s="22">
        <f>(Table1[[#This Row],[Total Revenue]] * 0.18) + Table1[[#This Row],[Total Revenue]]</f>
        <v>106.18819999999999</v>
      </c>
      <c r="K6" s="6" t="str">
        <f>TRIM(Table1[[#This Row],[Product Name]])</f>
        <v>Neutrogena Skincare Set</v>
      </c>
      <c r="L6" s="6" t="str">
        <f>UPPER(Table1[[#This Row],[Trimmed words]])</f>
        <v>NEUTROGENA SKINCARE SET</v>
      </c>
      <c r="M6" s="26" t="str">
        <f>LOWER(Table1[[#This Row],[Upper function]])</f>
        <v>neutrogena skincare set</v>
      </c>
      <c r="N6" s="26" t="str">
        <f t="shared" si="0"/>
        <v>Bea</v>
      </c>
      <c r="O6" s="26" t="str">
        <f t="shared" si="1"/>
        <v>uty Prod</v>
      </c>
      <c r="P6" s="27" t="str">
        <f t="shared" si="2"/>
        <v>roducts</v>
      </c>
      <c r="Q6" s="27" t="str">
        <f t="shared" si="3"/>
        <v>Beworduty Products</v>
      </c>
      <c r="R6" s="27" t="str">
        <f t="shared" si="4"/>
        <v>positionauty Products</v>
      </c>
      <c r="S6" s="27" t="str">
        <f t="shared" si="5"/>
        <v>10005-Beauty Products-(Asia)</v>
      </c>
      <c r="T6" s="27"/>
      <c r="X6" t="s">
        <v>256</v>
      </c>
      <c r="Y6">
        <f>SUMIFS(G:G,E:E, "Electronics",H:H, "Asia")</f>
        <v>0</v>
      </c>
      <c r="AA6" t="str">
        <f t="shared" ca="1" si="6"/>
        <v>=SUMIFS(G:G,E:E, "Electronics",H:H, "Asia")</v>
      </c>
    </row>
    <row r="7" spans="1:27" x14ac:dyDescent="0.35">
      <c r="A7" s="4">
        <v>10006</v>
      </c>
      <c r="B7" s="5">
        <v>45297</v>
      </c>
      <c r="C7" s="6" t="s">
        <v>25</v>
      </c>
      <c r="D7" s="6" t="s">
        <v>26</v>
      </c>
      <c r="E7" s="6">
        <v>5</v>
      </c>
      <c r="F7" s="6">
        <v>29.99</v>
      </c>
      <c r="G7" s="6">
        <v>149.94999999999999</v>
      </c>
      <c r="H7" s="6" t="s">
        <v>19</v>
      </c>
      <c r="I7" s="7" t="s">
        <v>12</v>
      </c>
      <c r="J7" s="22">
        <f>(Table1[[#This Row],[Total Revenue]] * 0.18) + Table1[[#This Row],[Total Revenue]]</f>
        <v>176.94099999999997</v>
      </c>
      <c r="K7" s="6" t="str">
        <f>TRIM(Table1[[#This Row],[Product Name]])</f>
        <v>Wilson Evolution Basketball</v>
      </c>
      <c r="L7" s="6" t="str">
        <f>UPPER(Table1[[#This Row],[Trimmed words]])</f>
        <v>WILSON EVOLUTION BASKETBALL</v>
      </c>
      <c r="M7" s="26" t="str">
        <f>LOWER(Table1[[#This Row],[Upper function]])</f>
        <v>wilson evolution basketball</v>
      </c>
      <c r="N7" s="26" t="str">
        <f t="shared" si="0"/>
        <v>Spo</v>
      </c>
      <c r="O7" s="26" t="str">
        <f t="shared" si="1"/>
        <v>rts</v>
      </c>
      <c r="P7" s="27" t="str">
        <f t="shared" si="2"/>
        <v>Sports</v>
      </c>
      <c r="Q7" s="27" t="str">
        <f t="shared" si="3"/>
        <v>Sports</v>
      </c>
      <c r="R7" s="27" t="str">
        <f t="shared" si="4"/>
        <v>positionorts</v>
      </c>
      <c r="S7" s="27" t="str">
        <f t="shared" si="5"/>
        <v>10006-Sports-(North America)</v>
      </c>
      <c r="T7" s="27"/>
      <c r="X7" t="s">
        <v>257</v>
      </c>
      <c r="Y7">
        <f>COUNTIF(H:H, "Europe")</f>
        <v>80</v>
      </c>
      <c r="AA7" t="str">
        <f t="shared" ca="1" si="6"/>
        <v>=COUNTIF(H:H, "Europe")</v>
      </c>
    </row>
    <row r="8" spans="1:27" x14ac:dyDescent="0.35">
      <c r="A8" s="4">
        <v>10007</v>
      </c>
      <c r="B8" s="5">
        <v>45298</v>
      </c>
      <c r="C8" s="6" t="s">
        <v>9</v>
      </c>
      <c r="D8" s="6" t="s">
        <v>27</v>
      </c>
      <c r="E8" s="6">
        <v>1</v>
      </c>
      <c r="F8" s="6">
        <v>2499.9899999999998</v>
      </c>
      <c r="G8" s="6">
        <v>2499.9899999999998</v>
      </c>
      <c r="H8" s="6" t="s">
        <v>11</v>
      </c>
      <c r="I8" s="7" t="s">
        <v>12</v>
      </c>
      <c r="J8" s="22">
        <f>(Table1[[#This Row],[Total Revenue]] * 0.18) + Table1[[#This Row],[Total Revenue]]</f>
        <v>2949.9881999999998</v>
      </c>
      <c r="K8" s="6" t="str">
        <f>TRIM(Table1[[#This Row],[Product Name]])</f>
        <v>MacBook Pro 16-inch</v>
      </c>
      <c r="L8" s="6" t="str">
        <f>UPPER(Table1[[#This Row],[Trimmed words]])</f>
        <v>MACBOOK PRO 16-INCH</v>
      </c>
      <c r="M8" s="26" t="str">
        <f>LOWER(Table1[[#This Row],[Upper function]])</f>
        <v>macbook pro 16-inch</v>
      </c>
      <c r="N8" s="26" t="str">
        <f t="shared" si="0"/>
        <v>Ele</v>
      </c>
      <c r="O8" s="26" t="str">
        <f t="shared" si="1"/>
        <v>ctronics</v>
      </c>
      <c r="P8" s="27" t="str">
        <f t="shared" si="2"/>
        <v>tronics</v>
      </c>
      <c r="Q8" s="27" t="str">
        <f t="shared" si="3"/>
        <v>Electronics</v>
      </c>
      <c r="R8" s="27" t="str">
        <f t="shared" si="4"/>
        <v>positionectronics</v>
      </c>
      <c r="S8" s="27" t="str">
        <f t="shared" si="5"/>
        <v>10007-Electronics-(Europe)</v>
      </c>
      <c r="T8" s="27"/>
      <c r="X8" t="s">
        <v>258</v>
      </c>
      <c r="Y8">
        <f>COUNTIF(I:I,"paypal")</f>
        <v>80</v>
      </c>
      <c r="AA8" t="str">
        <f t="shared" ca="1" si="6"/>
        <v>=COUNTIF(I:I,"paypal")</v>
      </c>
    </row>
    <row r="9" spans="1:27" x14ac:dyDescent="0.35">
      <c r="A9" s="4">
        <v>10008</v>
      </c>
      <c r="B9" s="5">
        <v>45299</v>
      </c>
      <c r="C9" s="6" t="s">
        <v>13</v>
      </c>
      <c r="D9" s="6" t="s">
        <v>28</v>
      </c>
      <c r="E9" s="6">
        <v>2</v>
      </c>
      <c r="F9" s="6">
        <v>599.99</v>
      </c>
      <c r="G9" s="6">
        <v>1199.98</v>
      </c>
      <c r="H9" s="6" t="s">
        <v>15</v>
      </c>
      <c r="I9" s="7" t="s">
        <v>16</v>
      </c>
      <c r="J9" s="22">
        <f>(Table1[[#This Row],[Total Revenue]] * 0.18) + Table1[[#This Row],[Total Revenue]]</f>
        <v>1415.9764</v>
      </c>
      <c r="K9" s="6" t="str">
        <f>TRIM(Table1[[#This Row],[Product Name]])</f>
        <v>Blueair Classic 480i</v>
      </c>
      <c r="L9" s="6" t="str">
        <f>UPPER(Table1[[#This Row],[Trimmed words]])</f>
        <v>BLUEAIR CLASSIC 480I</v>
      </c>
      <c r="M9" s="26" t="str">
        <f>LOWER(Table1[[#This Row],[Upper function]])</f>
        <v>blueair classic 480i</v>
      </c>
      <c r="N9" s="26" t="str">
        <f t="shared" si="0"/>
        <v>Hom</v>
      </c>
      <c r="O9" s="26" t="str">
        <f t="shared" si="1"/>
        <v>e Applia</v>
      </c>
      <c r="P9" s="27" t="str">
        <f t="shared" si="2"/>
        <v>liances</v>
      </c>
      <c r="Q9" s="27" t="str">
        <f t="shared" si="3"/>
        <v>Home Appliwordnces</v>
      </c>
      <c r="R9" s="27" t="str">
        <f t="shared" si="4"/>
        <v>positionme Appliances</v>
      </c>
      <c r="S9" s="27" t="str">
        <f t="shared" si="5"/>
        <v>10008-Home Appliances-(Asia)</v>
      </c>
      <c r="T9" s="27"/>
      <c r="X9" t="s">
        <v>259</v>
      </c>
      <c r="Y9">
        <f>COUNTIFS(C:C, "clothing",I:I, "debit card")</f>
        <v>40</v>
      </c>
      <c r="AA9" t="str">
        <f t="shared" ca="1" si="6"/>
        <v>=COUNTIFS(C:C, "clothing",I:I, "debit card")</v>
      </c>
    </row>
    <row r="10" spans="1:27" x14ac:dyDescent="0.35">
      <c r="A10" s="4">
        <v>10009</v>
      </c>
      <c r="B10" s="5">
        <v>45300</v>
      </c>
      <c r="C10" s="6" t="s">
        <v>17</v>
      </c>
      <c r="D10" s="6" t="s">
        <v>29</v>
      </c>
      <c r="E10" s="6">
        <v>6</v>
      </c>
      <c r="F10" s="6">
        <v>89.99</v>
      </c>
      <c r="G10" s="6">
        <v>539.94000000000005</v>
      </c>
      <c r="H10" s="6" t="s">
        <v>19</v>
      </c>
      <c r="I10" s="7" t="s">
        <v>20</v>
      </c>
      <c r="J10" s="22">
        <f>(Table1[[#This Row],[Total Revenue]] * 0.18) + Table1[[#This Row],[Total Revenue]]</f>
        <v>637.12920000000008</v>
      </c>
      <c r="K10" s="6" t="str">
        <f>TRIM(Table1[[#This Row],[Product Name]])</f>
        <v>Nike Air Force 1</v>
      </c>
      <c r="L10" s="6" t="str">
        <f>UPPER(Table1[[#This Row],[Trimmed words]])</f>
        <v>NIKE AIR FORCE 1</v>
      </c>
      <c r="M10" s="26" t="str">
        <f>LOWER(Table1[[#This Row],[Upper function]])</f>
        <v>nike air force 1</v>
      </c>
      <c r="N10" s="26" t="str">
        <f t="shared" si="0"/>
        <v>Clo</v>
      </c>
      <c r="O10" s="26" t="str">
        <f t="shared" si="1"/>
        <v>thing</v>
      </c>
      <c r="P10" s="27" t="str">
        <f t="shared" si="2"/>
        <v>lothing</v>
      </c>
      <c r="Q10" s="27" t="str">
        <f t="shared" si="3"/>
        <v>Clothing</v>
      </c>
      <c r="R10" s="27" t="str">
        <f t="shared" si="4"/>
        <v>positionothing</v>
      </c>
      <c r="S10" s="27" t="str">
        <f t="shared" si="5"/>
        <v>10009-Clothing-(North America)</v>
      </c>
      <c r="T10" s="27"/>
      <c r="AA10" t="e">
        <f t="shared" ca="1" si="6"/>
        <v>#N/A</v>
      </c>
    </row>
    <row r="11" spans="1:27" x14ac:dyDescent="0.35">
      <c r="A11" s="4">
        <v>10010</v>
      </c>
      <c r="B11" s="5">
        <v>45301</v>
      </c>
      <c r="C11" s="6" t="s">
        <v>21</v>
      </c>
      <c r="D11" s="6" t="s">
        <v>30</v>
      </c>
      <c r="E11" s="6">
        <v>2</v>
      </c>
      <c r="F11" s="6">
        <v>25.99</v>
      </c>
      <c r="G11" s="6">
        <v>51.98</v>
      </c>
      <c r="H11" s="6" t="s">
        <v>11</v>
      </c>
      <c r="I11" s="7" t="s">
        <v>12</v>
      </c>
      <c r="J11" s="22">
        <f>(Table1[[#This Row],[Total Revenue]] * 0.18) + Table1[[#This Row],[Total Revenue]]</f>
        <v>61.336399999999998</v>
      </c>
      <c r="K11" s="6" t="str">
        <f>TRIM(Table1[[#This Row],[Product Name]])</f>
        <v>Dune by Frank Herbert</v>
      </c>
      <c r="L11" s="6" t="str">
        <f>UPPER(Table1[[#This Row],[Trimmed words]])</f>
        <v>DUNE BY FRANK HERBERT</v>
      </c>
      <c r="M11" s="26" t="str">
        <f>LOWER(Table1[[#This Row],[Upper function]])</f>
        <v>dune by frank herbert</v>
      </c>
      <c r="N11" s="26" t="str">
        <f t="shared" si="0"/>
        <v>Boo</v>
      </c>
      <c r="O11" s="26" t="str">
        <f t="shared" si="1"/>
        <v>ks</v>
      </c>
      <c r="P11" s="27" t="str">
        <f t="shared" si="2"/>
        <v>Books</v>
      </c>
      <c r="Q11" s="27" t="str">
        <f t="shared" si="3"/>
        <v>Books</v>
      </c>
      <c r="R11" s="27" t="str">
        <f t="shared" si="4"/>
        <v>positionoks</v>
      </c>
      <c r="S11" s="27" t="str">
        <f t="shared" si="5"/>
        <v>10010-Books-(Europe)</v>
      </c>
      <c r="T11" s="27"/>
      <c r="AA11" t="e">
        <f t="shared" ca="1" si="6"/>
        <v>#N/A</v>
      </c>
    </row>
    <row r="12" spans="1:27" x14ac:dyDescent="0.35">
      <c r="A12" s="4">
        <v>10011</v>
      </c>
      <c r="B12" s="5">
        <v>45302</v>
      </c>
      <c r="C12" s="6" t="s">
        <v>23</v>
      </c>
      <c r="D12" s="6" t="s">
        <v>31</v>
      </c>
      <c r="E12" s="6">
        <v>1</v>
      </c>
      <c r="F12" s="6">
        <v>129.99</v>
      </c>
      <c r="G12" s="6">
        <v>129.99</v>
      </c>
      <c r="H12" s="6" t="s">
        <v>15</v>
      </c>
      <c r="I12" s="7" t="s">
        <v>16</v>
      </c>
      <c r="J12" s="22">
        <f>(Table1[[#This Row],[Total Revenue]] * 0.18) + Table1[[#This Row],[Total Revenue]]</f>
        <v>153.38820000000001</v>
      </c>
      <c r="K12" s="6" t="str">
        <f>TRIM(Table1[[#This Row],[Product Name]])</f>
        <v>Chanel No. 5 Perfume</v>
      </c>
      <c r="L12" s="6" t="str">
        <f>UPPER(Table1[[#This Row],[Trimmed words]])</f>
        <v>CHANEL NO. 5 PERFUME</v>
      </c>
      <c r="M12" s="26" t="str">
        <f>LOWER(Table1[[#This Row],[Upper function]])</f>
        <v>chanel no. 5 perfume</v>
      </c>
      <c r="N12" s="26" t="str">
        <f t="shared" si="0"/>
        <v>Bea</v>
      </c>
      <c r="O12" s="26" t="str">
        <f t="shared" si="1"/>
        <v>uty Prod</v>
      </c>
      <c r="P12" s="27" t="str">
        <f t="shared" si="2"/>
        <v>roducts</v>
      </c>
      <c r="Q12" s="27" t="str">
        <f t="shared" si="3"/>
        <v>Beworduty Products</v>
      </c>
      <c r="R12" s="27" t="str">
        <f t="shared" si="4"/>
        <v>positionauty Products</v>
      </c>
      <c r="S12" s="27" t="str">
        <f t="shared" si="5"/>
        <v>10011-Beauty Products-(Asia)</v>
      </c>
      <c r="T12" s="27"/>
      <c r="AA12" t="e">
        <f t="shared" ca="1" si="6"/>
        <v>#N/A</v>
      </c>
    </row>
    <row r="13" spans="1:27" x14ac:dyDescent="0.35">
      <c r="A13" s="4">
        <v>10012</v>
      </c>
      <c r="B13" s="5">
        <v>45303</v>
      </c>
      <c r="C13" s="6" t="s">
        <v>25</v>
      </c>
      <c r="D13" s="6" t="s">
        <v>32</v>
      </c>
      <c r="E13" s="6">
        <v>3</v>
      </c>
      <c r="F13" s="6">
        <v>199.99</v>
      </c>
      <c r="G13" s="6">
        <v>599.97</v>
      </c>
      <c r="H13" s="6" t="s">
        <v>19</v>
      </c>
      <c r="I13" s="7" t="s">
        <v>12</v>
      </c>
      <c r="J13" s="22">
        <f>(Table1[[#This Row],[Total Revenue]] * 0.18) + Table1[[#This Row],[Total Revenue]]</f>
        <v>707.96460000000002</v>
      </c>
      <c r="K13" s="6" t="str">
        <f>TRIM(Table1[[#This Row],[Product Name]])</f>
        <v>Babolat Pure Drive Tennis Racket</v>
      </c>
      <c r="L13" s="6" t="str">
        <f>UPPER(Table1[[#This Row],[Trimmed words]])</f>
        <v>BABOLAT PURE DRIVE TENNIS RACKET</v>
      </c>
      <c r="M13" s="26" t="str">
        <f>LOWER(Table1[[#This Row],[Upper function]])</f>
        <v>babolat pure drive tennis racket</v>
      </c>
      <c r="N13" s="26" t="str">
        <f t="shared" si="0"/>
        <v>Spo</v>
      </c>
      <c r="O13" s="26" t="str">
        <f t="shared" si="1"/>
        <v>rts</v>
      </c>
      <c r="P13" s="27" t="str">
        <f t="shared" si="2"/>
        <v>Sports</v>
      </c>
      <c r="Q13" s="27" t="str">
        <f t="shared" si="3"/>
        <v>Sports</v>
      </c>
      <c r="R13" s="27" t="str">
        <f t="shared" si="4"/>
        <v>positionorts</v>
      </c>
      <c r="S13" s="27" t="str">
        <f t="shared" si="5"/>
        <v>10012-Sports-(North America)</v>
      </c>
      <c r="T13" s="27"/>
      <c r="AA13" t="e">
        <f t="shared" ca="1" si="6"/>
        <v>#N/A</v>
      </c>
    </row>
    <row r="14" spans="1:27" x14ac:dyDescent="0.35">
      <c r="A14" s="4">
        <v>10013</v>
      </c>
      <c r="B14" s="5">
        <v>45304</v>
      </c>
      <c r="C14" s="6" t="s">
        <v>9</v>
      </c>
      <c r="D14" s="6" t="s">
        <v>33</v>
      </c>
      <c r="E14" s="6">
        <v>2</v>
      </c>
      <c r="F14" s="6">
        <v>749.99</v>
      </c>
      <c r="G14" s="6">
        <v>1499.98</v>
      </c>
      <c r="H14" s="6" t="s">
        <v>11</v>
      </c>
      <c r="I14" s="7" t="s">
        <v>12</v>
      </c>
      <c r="J14" s="22">
        <f>(Table1[[#This Row],[Total Revenue]] * 0.18) + Table1[[#This Row],[Total Revenue]]</f>
        <v>1769.9764</v>
      </c>
      <c r="K14" s="6" t="str">
        <f>TRIM(Table1[[#This Row],[Product Name]])</f>
        <v>Samsung Galaxy Tab S8</v>
      </c>
      <c r="L14" s="6" t="str">
        <f>UPPER(Table1[[#This Row],[Trimmed words]])</f>
        <v>SAMSUNG GALAXY TAB S8</v>
      </c>
      <c r="M14" s="26" t="str">
        <f>LOWER(Table1[[#This Row],[Upper function]])</f>
        <v>samsung galaxy tab s8</v>
      </c>
      <c r="N14" s="26" t="str">
        <f t="shared" si="0"/>
        <v>Ele</v>
      </c>
      <c r="O14" s="26" t="str">
        <f t="shared" si="1"/>
        <v>ctronics</v>
      </c>
      <c r="P14" s="27" t="str">
        <f t="shared" si="2"/>
        <v>tronics</v>
      </c>
      <c r="Q14" s="27" t="str">
        <f t="shared" si="3"/>
        <v>Electronics</v>
      </c>
      <c r="R14" s="27" t="str">
        <f t="shared" si="4"/>
        <v>positionectronics</v>
      </c>
      <c r="S14" s="27" t="str">
        <f t="shared" si="5"/>
        <v>10013-Electronics-(Europe)</v>
      </c>
      <c r="T14" s="27"/>
      <c r="AA14" t="e">
        <f t="shared" ca="1" si="6"/>
        <v>#N/A</v>
      </c>
    </row>
    <row r="15" spans="1:27" x14ac:dyDescent="0.35">
      <c r="A15" s="4">
        <v>10014</v>
      </c>
      <c r="B15" s="5">
        <v>45305</v>
      </c>
      <c r="C15" s="6" t="s">
        <v>13</v>
      </c>
      <c r="D15" s="6" t="s">
        <v>262</v>
      </c>
      <c r="E15" s="6">
        <v>1</v>
      </c>
      <c r="F15" s="6">
        <v>189.99</v>
      </c>
      <c r="G15" s="6">
        <v>189.99</v>
      </c>
      <c r="H15" s="6" t="s">
        <v>15</v>
      </c>
      <c r="I15" s="7" t="s">
        <v>16</v>
      </c>
      <c r="J15" s="22">
        <f>(Table1[[#This Row],[Total Revenue]] * 0.18) + Table1[[#This Row],[Total Revenue]]</f>
        <v>224.18819999999999</v>
      </c>
      <c r="K15" s="6" t="str">
        <f>TRIM(Table1[[#This Row],[Product Name]])</f>
        <v>Keurig K-Elite Coffee Maker</v>
      </c>
      <c r="L15" s="6" t="str">
        <f>UPPER(Table1[[#This Row],[Trimmed words]])</f>
        <v>KEURIG K-ELITE COFFEE MAKER</v>
      </c>
      <c r="M15" s="26" t="str">
        <f>LOWER(Table1[[#This Row],[Upper function]])</f>
        <v>keurig k-elite coffee maker</v>
      </c>
      <c r="N15" s="26" t="str">
        <f t="shared" si="0"/>
        <v>Hom</v>
      </c>
      <c r="O15" s="26" t="str">
        <f t="shared" si="1"/>
        <v>e Applia</v>
      </c>
      <c r="P15" s="27" t="str">
        <f t="shared" si="2"/>
        <v>liances</v>
      </c>
      <c r="Q15" s="27" t="str">
        <f t="shared" si="3"/>
        <v>Home Appliwordnces</v>
      </c>
      <c r="R15" s="27" t="str">
        <f t="shared" si="4"/>
        <v>positionme Appliances</v>
      </c>
      <c r="S15" s="27" t="str">
        <f t="shared" si="5"/>
        <v>10014-Home Appliances-(Asia)</v>
      </c>
      <c r="T15" s="27"/>
    </row>
    <row r="16" spans="1:27" x14ac:dyDescent="0.35">
      <c r="A16" s="4">
        <v>10015</v>
      </c>
      <c r="B16" s="5">
        <v>45306</v>
      </c>
      <c r="C16" s="6" t="s">
        <v>17</v>
      </c>
      <c r="D16" s="6" t="s">
        <v>35</v>
      </c>
      <c r="E16" s="6">
        <v>2</v>
      </c>
      <c r="F16" s="6">
        <v>249.99</v>
      </c>
      <c r="G16" s="6">
        <v>499.98</v>
      </c>
      <c r="H16" s="6" t="s">
        <v>19</v>
      </c>
      <c r="I16" s="7" t="s">
        <v>20</v>
      </c>
      <c r="J16" s="22">
        <f>(Table1[[#This Row],[Total Revenue]] * 0.18) + Table1[[#This Row],[Total Revenue]]</f>
        <v>589.97640000000001</v>
      </c>
      <c r="K16" s="6" t="str">
        <f>TRIM(Table1[[#This Row],[Product Name]])</f>
        <v>North Face Down Jacket</v>
      </c>
      <c r="L16" s="6" t="str">
        <f>UPPER(Table1[[#This Row],[Trimmed words]])</f>
        <v>NORTH FACE DOWN JACKET</v>
      </c>
      <c r="M16" s="26" t="str">
        <f>LOWER(Table1[[#This Row],[Upper function]])</f>
        <v>north face down jacket</v>
      </c>
      <c r="N16" s="26" t="str">
        <f t="shared" si="0"/>
        <v>Clo</v>
      </c>
      <c r="O16" s="26" t="str">
        <f t="shared" si="1"/>
        <v>thing</v>
      </c>
      <c r="P16" s="27" t="str">
        <f t="shared" si="2"/>
        <v>lothing</v>
      </c>
      <c r="Q16" s="27" t="str">
        <f t="shared" si="3"/>
        <v>Clothing</v>
      </c>
      <c r="R16" s="27" t="str">
        <f t="shared" si="4"/>
        <v>positionothing</v>
      </c>
      <c r="S16" s="27" t="str">
        <f t="shared" si="5"/>
        <v>10015-Clothing-(North America)</v>
      </c>
      <c r="T16" s="27"/>
    </row>
    <row r="17" spans="1:20" x14ac:dyDescent="0.35">
      <c r="A17" s="4">
        <v>10016</v>
      </c>
      <c r="B17" s="5">
        <v>45307</v>
      </c>
      <c r="C17" s="6" t="s">
        <v>21</v>
      </c>
      <c r="D17" s="6" t="s">
        <v>36</v>
      </c>
      <c r="E17" s="6">
        <v>3</v>
      </c>
      <c r="F17" s="6">
        <v>35.99</v>
      </c>
      <c r="G17" s="6">
        <v>107.97</v>
      </c>
      <c r="H17" s="6" t="s">
        <v>11</v>
      </c>
      <c r="I17" s="7" t="s">
        <v>12</v>
      </c>
      <c r="J17" s="22">
        <f>(Table1[[#This Row],[Total Revenue]] * 0.18) + Table1[[#This Row],[Total Revenue]]</f>
        <v>127.4046</v>
      </c>
      <c r="K17" s="6" t="str">
        <f>TRIM(Table1[[#This Row],[Product Name]])</f>
        <v>Salt, Fat, Acid, Heat by Samin Nosrat</v>
      </c>
      <c r="L17" s="6" t="str">
        <f>UPPER(Table1[[#This Row],[Trimmed words]])</f>
        <v>SALT, FAT, ACID, HEAT BY SAMIN NOSRAT</v>
      </c>
      <c r="M17" s="26" t="str">
        <f>LOWER(Table1[[#This Row],[Upper function]])</f>
        <v>salt, fat, acid, heat by samin nosrat</v>
      </c>
      <c r="N17" s="26" t="str">
        <f t="shared" si="0"/>
        <v>Boo</v>
      </c>
      <c r="O17" s="26" t="str">
        <f t="shared" si="1"/>
        <v>ks</v>
      </c>
      <c r="P17" s="27" t="str">
        <f t="shared" si="2"/>
        <v>Books</v>
      </c>
      <c r="Q17" s="27" t="str">
        <f t="shared" si="3"/>
        <v>Books</v>
      </c>
      <c r="R17" s="27" t="str">
        <f t="shared" si="4"/>
        <v>positionoks</v>
      </c>
      <c r="S17" s="27" t="str">
        <f t="shared" si="5"/>
        <v>10016-Books-(Europe)</v>
      </c>
      <c r="T17" s="27"/>
    </row>
    <row r="18" spans="1:20" x14ac:dyDescent="0.35">
      <c r="A18" s="4">
        <v>10017</v>
      </c>
      <c r="B18" s="5">
        <v>45308</v>
      </c>
      <c r="C18" s="6" t="s">
        <v>23</v>
      </c>
      <c r="D18" s="6" t="s">
        <v>37</v>
      </c>
      <c r="E18" s="6">
        <v>1</v>
      </c>
      <c r="F18" s="6">
        <v>399.99</v>
      </c>
      <c r="G18" s="6">
        <v>399.99</v>
      </c>
      <c r="H18" s="6" t="s">
        <v>15</v>
      </c>
      <c r="I18" s="7" t="s">
        <v>16</v>
      </c>
      <c r="J18" s="22">
        <f>(Table1[[#This Row],[Total Revenue]] * 0.18) + Table1[[#This Row],[Total Revenue]]</f>
        <v>471.98820000000001</v>
      </c>
      <c r="K18" s="6" t="str">
        <f>TRIM(Table1[[#This Row],[Product Name]])</f>
        <v>Dyson Supersonic Hair Dryer</v>
      </c>
      <c r="L18" s="6" t="str">
        <f>UPPER(Table1[[#This Row],[Trimmed words]])</f>
        <v>DYSON SUPERSONIC HAIR DRYER</v>
      </c>
      <c r="M18" s="26" t="str">
        <f>LOWER(Table1[[#This Row],[Upper function]])</f>
        <v>dyson supersonic hair dryer</v>
      </c>
      <c r="N18" s="26" t="str">
        <f t="shared" si="0"/>
        <v>Bea</v>
      </c>
      <c r="O18" s="26" t="str">
        <f t="shared" si="1"/>
        <v>uty Prod</v>
      </c>
      <c r="P18" s="27" t="str">
        <f t="shared" si="2"/>
        <v>roducts</v>
      </c>
      <c r="Q18" s="27" t="str">
        <f t="shared" si="3"/>
        <v>Beworduty Products</v>
      </c>
      <c r="R18" s="27" t="str">
        <f t="shared" si="4"/>
        <v>positionauty Products</v>
      </c>
      <c r="S18" s="27" t="str">
        <f t="shared" si="5"/>
        <v>10017-Beauty Products-(Asia)</v>
      </c>
      <c r="T18" s="27"/>
    </row>
    <row r="19" spans="1:20" x14ac:dyDescent="0.35">
      <c r="A19" s="4">
        <v>10018</v>
      </c>
      <c r="B19" s="5">
        <v>45309</v>
      </c>
      <c r="C19" s="6" t="s">
        <v>25</v>
      </c>
      <c r="D19" s="6" t="s">
        <v>38</v>
      </c>
      <c r="E19" s="6">
        <v>4</v>
      </c>
      <c r="F19" s="6">
        <v>119.99</v>
      </c>
      <c r="G19" s="6">
        <v>479.96</v>
      </c>
      <c r="H19" s="6" t="s">
        <v>19</v>
      </c>
      <c r="I19" s="7" t="s">
        <v>12</v>
      </c>
      <c r="J19" s="22">
        <f>(Table1[[#This Row],[Total Revenue]] * 0.18) + Table1[[#This Row],[Total Revenue]]</f>
        <v>566.3528</v>
      </c>
      <c r="K19" s="6" t="str">
        <f>TRIM(Table1[[#This Row],[Product Name]])</f>
        <v>Manduka PRO Yoga Mat</v>
      </c>
      <c r="L19" s="6" t="str">
        <f>UPPER(Table1[[#This Row],[Trimmed words]])</f>
        <v>MANDUKA PRO YOGA MAT</v>
      </c>
      <c r="M19" s="26" t="str">
        <f>LOWER(Table1[[#This Row],[Upper function]])</f>
        <v>manduka pro yoga mat</v>
      </c>
      <c r="N19" s="26" t="str">
        <f t="shared" si="0"/>
        <v>Spo</v>
      </c>
      <c r="O19" s="26" t="str">
        <f t="shared" si="1"/>
        <v>rts</v>
      </c>
      <c r="P19" s="27" t="str">
        <f t="shared" si="2"/>
        <v>Sports</v>
      </c>
      <c r="Q19" s="27" t="str">
        <f t="shared" si="3"/>
        <v>Sports</v>
      </c>
      <c r="R19" s="27" t="str">
        <f t="shared" si="4"/>
        <v>positionorts</v>
      </c>
      <c r="S19" s="27" t="str">
        <f t="shared" si="5"/>
        <v>10018-Sports-(North America)</v>
      </c>
      <c r="T19" s="27"/>
    </row>
    <row r="20" spans="1:20" x14ac:dyDescent="0.35">
      <c r="A20" s="4">
        <v>10019</v>
      </c>
      <c r="B20" s="5">
        <v>45310</v>
      </c>
      <c r="C20" s="6" t="s">
        <v>9</v>
      </c>
      <c r="D20" s="6" t="s">
        <v>39</v>
      </c>
      <c r="E20" s="6">
        <v>2</v>
      </c>
      <c r="F20" s="6">
        <v>499.99</v>
      </c>
      <c r="G20" s="6">
        <v>999.98</v>
      </c>
      <c r="H20" s="6" t="s">
        <v>11</v>
      </c>
      <c r="I20" s="7" t="s">
        <v>12</v>
      </c>
      <c r="J20" s="22">
        <f>(Table1[[#This Row],[Total Revenue]] * 0.18) + Table1[[#This Row],[Total Revenue]]</f>
        <v>1179.9764</v>
      </c>
      <c r="K20" s="6" t="str">
        <f>TRIM(Table1[[#This Row],[Product Name]])</f>
        <v>Garmin Forerunner 945</v>
      </c>
      <c r="L20" s="6" t="str">
        <f>UPPER(Table1[[#This Row],[Trimmed words]])</f>
        <v>GARMIN FORERUNNER 945</v>
      </c>
      <c r="M20" s="26" t="str">
        <f>LOWER(Table1[[#This Row],[Upper function]])</f>
        <v>garmin forerunner 945</v>
      </c>
      <c r="N20" s="26" t="str">
        <f t="shared" si="0"/>
        <v>Ele</v>
      </c>
      <c r="O20" s="26" t="str">
        <f t="shared" si="1"/>
        <v>ctronics</v>
      </c>
      <c r="P20" s="27" t="str">
        <f t="shared" si="2"/>
        <v>tronics</v>
      </c>
      <c r="Q20" s="27" t="str">
        <f t="shared" si="3"/>
        <v>Electronics</v>
      </c>
      <c r="R20" s="27" t="str">
        <f t="shared" si="4"/>
        <v>positionectronics</v>
      </c>
      <c r="S20" s="27" t="str">
        <f t="shared" si="5"/>
        <v>10019-Electronics-(Europe)</v>
      </c>
      <c r="T20" s="27"/>
    </row>
    <row r="21" spans="1:20" x14ac:dyDescent="0.35">
      <c r="A21" s="4">
        <v>10020</v>
      </c>
      <c r="B21" s="5">
        <v>45311</v>
      </c>
      <c r="C21" s="6" t="s">
        <v>13</v>
      </c>
      <c r="D21" s="6" t="s">
        <v>40</v>
      </c>
      <c r="E21" s="6">
        <v>1</v>
      </c>
      <c r="F21" s="6">
        <v>99.99</v>
      </c>
      <c r="G21" s="6">
        <v>99.99</v>
      </c>
      <c r="H21" s="6" t="s">
        <v>15</v>
      </c>
      <c r="I21" s="7" t="s">
        <v>16</v>
      </c>
      <c r="J21" s="22">
        <f>(Table1[[#This Row],[Total Revenue]] * 0.18) + Table1[[#This Row],[Total Revenue]]</f>
        <v>117.98819999999999</v>
      </c>
      <c r="K21" s="6" t="str">
        <f>TRIM(Table1[[#This Row],[Product Name]])</f>
        <v>Ninja Professional Blender</v>
      </c>
      <c r="L21" s="6" t="str">
        <f>UPPER(Table1[[#This Row],[Trimmed words]])</f>
        <v>NINJA PROFESSIONAL BLENDER</v>
      </c>
      <c r="M21" s="26" t="str">
        <f>LOWER(Table1[[#This Row],[Upper function]])</f>
        <v>ninja professional blender</v>
      </c>
      <c r="N21" s="26" t="str">
        <f t="shared" si="0"/>
        <v>Hom</v>
      </c>
      <c r="O21" s="26" t="str">
        <f t="shared" si="1"/>
        <v>e Applia</v>
      </c>
      <c r="P21" s="27" t="str">
        <f t="shared" si="2"/>
        <v>liances</v>
      </c>
      <c r="Q21" s="27" t="str">
        <f t="shared" si="3"/>
        <v>Home Appliwordnces</v>
      </c>
      <c r="R21" s="27" t="str">
        <f t="shared" si="4"/>
        <v>positionme Appliances</v>
      </c>
      <c r="S21" s="27" t="str">
        <f t="shared" si="5"/>
        <v>10020-Home Appliances-(Asia)</v>
      </c>
      <c r="T21" s="27"/>
    </row>
    <row r="22" spans="1:20" x14ac:dyDescent="0.35">
      <c r="A22" s="4">
        <v>10021</v>
      </c>
      <c r="B22" s="5">
        <v>45312</v>
      </c>
      <c r="C22" s="6" t="s">
        <v>17</v>
      </c>
      <c r="D22" s="6" t="s">
        <v>41</v>
      </c>
      <c r="E22" s="6">
        <v>3</v>
      </c>
      <c r="F22" s="6">
        <v>59.99</v>
      </c>
      <c r="G22" s="6">
        <v>179.97</v>
      </c>
      <c r="H22" s="6" t="s">
        <v>19</v>
      </c>
      <c r="I22" s="7" t="s">
        <v>20</v>
      </c>
      <c r="J22" s="22">
        <f>(Table1[[#This Row],[Total Revenue]] * 0.18) + Table1[[#This Row],[Total Revenue]]</f>
        <v>212.3646</v>
      </c>
      <c r="K22" s="6" t="str">
        <f>TRIM(Table1[[#This Row],[Product Name]])</f>
        <v>Zara Summer Dress</v>
      </c>
      <c r="L22" s="6" t="str">
        <f>UPPER(Table1[[#This Row],[Trimmed words]])</f>
        <v>ZARA SUMMER DRESS</v>
      </c>
      <c r="M22" s="26" t="str">
        <f>LOWER(Table1[[#This Row],[Upper function]])</f>
        <v>zara summer dress</v>
      </c>
      <c r="N22" s="26" t="str">
        <f t="shared" si="0"/>
        <v>Clo</v>
      </c>
      <c r="O22" s="26" t="str">
        <f t="shared" si="1"/>
        <v>thing</v>
      </c>
      <c r="P22" s="27" t="str">
        <f t="shared" si="2"/>
        <v>lothing</v>
      </c>
      <c r="Q22" s="27" t="str">
        <f t="shared" si="3"/>
        <v>Clothing</v>
      </c>
      <c r="R22" s="27" t="str">
        <f t="shared" si="4"/>
        <v>positionothing</v>
      </c>
      <c r="S22" s="27" t="str">
        <f t="shared" si="5"/>
        <v>10021-Clothing-(North America)</v>
      </c>
      <c r="T22" s="27"/>
    </row>
    <row r="23" spans="1:20" x14ac:dyDescent="0.35">
      <c r="A23" s="4">
        <v>10022</v>
      </c>
      <c r="B23" s="5">
        <v>45313</v>
      </c>
      <c r="C23" s="6" t="s">
        <v>21</v>
      </c>
      <c r="D23" s="6" t="s">
        <v>42</v>
      </c>
      <c r="E23" s="6">
        <v>2</v>
      </c>
      <c r="F23" s="6">
        <v>22.99</v>
      </c>
      <c r="G23" s="6">
        <v>45.98</v>
      </c>
      <c r="H23" s="6" t="s">
        <v>11</v>
      </c>
      <c r="I23" s="7" t="s">
        <v>12</v>
      </c>
      <c r="J23" s="22">
        <f>(Table1[[#This Row],[Total Revenue]] * 0.18) + Table1[[#This Row],[Total Revenue]]</f>
        <v>54.256399999999999</v>
      </c>
      <c r="K23" s="6" t="str">
        <f>TRIM(Table1[[#This Row],[Product Name]])</f>
        <v>Gone Girl by Gillian Flynn</v>
      </c>
      <c r="L23" s="6" t="str">
        <f>UPPER(Table1[[#This Row],[Trimmed words]])</f>
        <v>GONE GIRL BY GILLIAN FLYNN</v>
      </c>
      <c r="M23" s="26" t="str">
        <f>LOWER(Table1[[#This Row],[Upper function]])</f>
        <v>gone girl by gillian flynn</v>
      </c>
      <c r="N23" s="26" t="str">
        <f t="shared" si="0"/>
        <v>Boo</v>
      </c>
      <c r="O23" s="26" t="str">
        <f t="shared" si="1"/>
        <v>ks</v>
      </c>
      <c r="P23" s="27" t="str">
        <f t="shared" si="2"/>
        <v>Books</v>
      </c>
      <c r="Q23" s="27" t="str">
        <f t="shared" si="3"/>
        <v>Books</v>
      </c>
      <c r="R23" s="27" t="str">
        <f t="shared" si="4"/>
        <v>positionoks</v>
      </c>
      <c r="S23" s="27" t="str">
        <f t="shared" si="5"/>
        <v>10022-Books-(Europe)</v>
      </c>
      <c r="T23" s="27"/>
    </row>
    <row r="24" spans="1:20" x14ac:dyDescent="0.35">
      <c r="A24" s="4">
        <v>10023</v>
      </c>
      <c r="B24" s="5">
        <v>45314</v>
      </c>
      <c r="C24" s="6" t="s">
        <v>23</v>
      </c>
      <c r="D24" s="6" t="s">
        <v>43</v>
      </c>
      <c r="E24" s="6">
        <v>1</v>
      </c>
      <c r="F24" s="6">
        <v>49.99</v>
      </c>
      <c r="G24" s="6">
        <v>49.99</v>
      </c>
      <c r="H24" s="6" t="s">
        <v>15</v>
      </c>
      <c r="I24" s="7" t="s">
        <v>16</v>
      </c>
      <c r="J24" s="22">
        <f>(Table1[[#This Row],[Total Revenue]] * 0.18) + Table1[[#This Row],[Total Revenue]]</f>
        <v>58.988200000000006</v>
      </c>
      <c r="K24" s="6" t="str">
        <f>TRIM(Table1[[#This Row],[Product Name]])</f>
        <v>Olay Regenerist Face Cream</v>
      </c>
      <c r="L24" s="6" t="str">
        <f>UPPER(Table1[[#This Row],[Trimmed words]])</f>
        <v>OLAY REGENERIST FACE CREAM</v>
      </c>
      <c r="M24" s="26" t="str">
        <f>LOWER(Table1[[#This Row],[Upper function]])</f>
        <v>olay regenerist face cream</v>
      </c>
      <c r="N24" s="26" t="str">
        <f t="shared" si="0"/>
        <v>Bea</v>
      </c>
      <c r="O24" s="26" t="str">
        <f t="shared" si="1"/>
        <v>uty Prod</v>
      </c>
      <c r="P24" s="27" t="str">
        <f t="shared" si="2"/>
        <v>roducts</v>
      </c>
      <c r="Q24" s="27" t="str">
        <f t="shared" si="3"/>
        <v>Beworduty Products</v>
      </c>
      <c r="R24" s="27" t="str">
        <f t="shared" si="4"/>
        <v>positionauty Products</v>
      </c>
      <c r="S24" s="27" t="str">
        <f t="shared" si="5"/>
        <v>10023-Beauty Products-(Asia)</v>
      </c>
      <c r="T24" s="27"/>
    </row>
    <row r="25" spans="1:20" x14ac:dyDescent="0.35">
      <c r="A25" s="4">
        <v>10024</v>
      </c>
      <c r="B25" s="5">
        <v>45315</v>
      </c>
      <c r="C25" s="6" t="s">
        <v>25</v>
      </c>
      <c r="D25" s="6" t="s">
        <v>44</v>
      </c>
      <c r="E25" s="6">
        <v>3</v>
      </c>
      <c r="F25" s="6">
        <v>29.99</v>
      </c>
      <c r="G25" s="6">
        <v>89.97</v>
      </c>
      <c r="H25" s="6" t="s">
        <v>19</v>
      </c>
      <c r="I25" s="7" t="s">
        <v>12</v>
      </c>
      <c r="J25" s="22">
        <f>(Table1[[#This Row],[Total Revenue]] * 0.18) + Table1[[#This Row],[Total Revenue]]</f>
        <v>106.16459999999999</v>
      </c>
      <c r="K25" s="6" t="str">
        <f>TRIM(Table1[[#This Row],[Product Name]])</f>
        <v>Adidas FIFA World Cup Football</v>
      </c>
      <c r="L25" s="6" t="str">
        <f>UPPER(Table1[[#This Row],[Trimmed words]])</f>
        <v>ADIDAS FIFA WORLD CUP FOOTBALL</v>
      </c>
      <c r="M25" s="26" t="str">
        <f>LOWER(Table1[[#This Row],[Upper function]])</f>
        <v>adidas fifa world cup football</v>
      </c>
      <c r="N25" s="26" t="str">
        <f t="shared" si="0"/>
        <v>Spo</v>
      </c>
      <c r="O25" s="26" t="str">
        <f t="shared" si="1"/>
        <v>rts</v>
      </c>
      <c r="P25" s="27" t="str">
        <f t="shared" si="2"/>
        <v>Sports</v>
      </c>
      <c r="Q25" s="27" t="str">
        <f t="shared" si="3"/>
        <v>Sports</v>
      </c>
      <c r="R25" s="27" t="str">
        <f t="shared" si="4"/>
        <v>positionorts</v>
      </c>
      <c r="S25" s="27" t="str">
        <f t="shared" si="5"/>
        <v>10024-Sports-(North America)</v>
      </c>
      <c r="T25" s="27"/>
    </row>
    <row r="26" spans="1:20" x14ac:dyDescent="0.35">
      <c r="A26" s="4">
        <v>10025</v>
      </c>
      <c r="B26" s="5">
        <v>45316</v>
      </c>
      <c r="C26" s="6" t="s">
        <v>9</v>
      </c>
      <c r="D26" s="6" t="s">
        <v>45</v>
      </c>
      <c r="E26" s="6">
        <v>1</v>
      </c>
      <c r="F26" s="6">
        <v>299.99</v>
      </c>
      <c r="G26" s="6">
        <v>299.99</v>
      </c>
      <c r="H26" s="6" t="s">
        <v>11</v>
      </c>
      <c r="I26" s="7" t="s">
        <v>12</v>
      </c>
      <c r="J26" s="22">
        <f>(Table1[[#This Row],[Total Revenue]] * 0.18) + Table1[[#This Row],[Total Revenue]]</f>
        <v>353.98820000000001</v>
      </c>
      <c r="K26" s="6" t="str">
        <f>TRIM(Table1[[#This Row],[Product Name]])</f>
        <v>Bose QuietComfort 35 Headphones</v>
      </c>
      <c r="L26" s="6" t="str">
        <f>UPPER(Table1[[#This Row],[Trimmed words]])</f>
        <v>BOSE QUIETCOMFORT 35 HEADPHONES</v>
      </c>
      <c r="M26" s="26" t="str">
        <f>LOWER(Table1[[#This Row],[Upper function]])</f>
        <v>bose quietcomfort 35 headphones</v>
      </c>
      <c r="N26" s="26" t="str">
        <f t="shared" si="0"/>
        <v>Ele</v>
      </c>
      <c r="O26" s="26" t="str">
        <f t="shared" si="1"/>
        <v>ctronics</v>
      </c>
      <c r="P26" s="27" t="str">
        <f t="shared" si="2"/>
        <v>tronics</v>
      </c>
      <c r="Q26" s="27" t="str">
        <f t="shared" si="3"/>
        <v>Electronics</v>
      </c>
      <c r="R26" s="27" t="str">
        <f t="shared" si="4"/>
        <v>positionectronics</v>
      </c>
      <c r="S26" s="27" t="str">
        <f t="shared" si="5"/>
        <v>10025-Electronics-(Europe)</v>
      </c>
      <c r="T26" s="27"/>
    </row>
    <row r="27" spans="1:20" x14ac:dyDescent="0.35">
      <c r="A27" s="4">
        <v>10026</v>
      </c>
      <c r="B27" s="5">
        <v>45317</v>
      </c>
      <c r="C27" s="6" t="s">
        <v>13</v>
      </c>
      <c r="D27" s="6" t="s">
        <v>46</v>
      </c>
      <c r="E27" s="6">
        <v>1</v>
      </c>
      <c r="F27" s="6">
        <v>179.99</v>
      </c>
      <c r="G27" s="6">
        <v>179.99</v>
      </c>
      <c r="H27" s="6" t="s">
        <v>15</v>
      </c>
      <c r="I27" s="7" t="s">
        <v>16</v>
      </c>
      <c r="J27" s="22">
        <f>(Table1[[#This Row],[Total Revenue]] * 0.18) + Table1[[#This Row],[Total Revenue]]</f>
        <v>212.38820000000001</v>
      </c>
      <c r="K27" s="6" t="str">
        <f>TRIM(Table1[[#This Row],[Product Name]])</f>
        <v>Panasonic NN-SN966S Microwave</v>
      </c>
      <c r="L27" s="6" t="str">
        <f>UPPER(Table1[[#This Row],[Trimmed words]])</f>
        <v>PANASONIC NN-SN966S MICROWAVE</v>
      </c>
      <c r="M27" s="26" t="str">
        <f>LOWER(Table1[[#This Row],[Upper function]])</f>
        <v>panasonic nn-sn966s microwave</v>
      </c>
      <c r="N27" s="26" t="str">
        <f t="shared" si="0"/>
        <v>Hom</v>
      </c>
      <c r="O27" s="26" t="str">
        <f t="shared" si="1"/>
        <v>e Applia</v>
      </c>
      <c r="P27" s="27" t="str">
        <f t="shared" si="2"/>
        <v>liances</v>
      </c>
      <c r="Q27" s="27" t="str">
        <f t="shared" si="3"/>
        <v>Home Appliwordnces</v>
      </c>
      <c r="R27" s="27" t="str">
        <f t="shared" si="4"/>
        <v>positionme Appliances</v>
      </c>
      <c r="S27" s="27" t="str">
        <f t="shared" si="5"/>
        <v>10026-Home Appliances-(Asia)</v>
      </c>
      <c r="T27" s="27"/>
    </row>
    <row r="28" spans="1:20" x14ac:dyDescent="0.35">
      <c r="A28" s="4">
        <v>10027</v>
      </c>
      <c r="B28" s="5">
        <v>45318</v>
      </c>
      <c r="C28" s="6" t="s">
        <v>17</v>
      </c>
      <c r="D28" s="6" t="s">
        <v>47</v>
      </c>
      <c r="E28" s="6">
        <v>2</v>
      </c>
      <c r="F28" s="6">
        <v>179.99</v>
      </c>
      <c r="G28" s="6">
        <v>359.98</v>
      </c>
      <c r="H28" s="6" t="s">
        <v>19</v>
      </c>
      <c r="I28" s="7" t="s">
        <v>20</v>
      </c>
      <c r="J28" s="22">
        <f>(Table1[[#This Row],[Total Revenue]] * 0.18) + Table1[[#This Row],[Total Revenue]]</f>
        <v>424.77640000000002</v>
      </c>
      <c r="K28" s="6" t="str">
        <f>TRIM(Table1[[#This Row],[Product Name]])</f>
        <v>Adidas Ultraboost Shoes</v>
      </c>
      <c r="L28" s="6" t="str">
        <f>UPPER(Table1[[#This Row],[Trimmed words]])</f>
        <v>ADIDAS ULTRABOOST SHOES</v>
      </c>
      <c r="M28" s="26" t="str">
        <f>LOWER(Table1[[#This Row],[Upper function]])</f>
        <v>adidas ultraboost shoes</v>
      </c>
      <c r="N28" s="26" t="str">
        <f t="shared" si="0"/>
        <v>Clo</v>
      </c>
      <c r="O28" s="26" t="str">
        <f t="shared" si="1"/>
        <v>thing</v>
      </c>
      <c r="P28" s="27" t="str">
        <f t="shared" si="2"/>
        <v>lothing</v>
      </c>
      <c r="Q28" s="27" t="str">
        <f t="shared" si="3"/>
        <v>Clothing</v>
      </c>
      <c r="R28" s="27" t="str">
        <f t="shared" si="4"/>
        <v>positionothing</v>
      </c>
      <c r="S28" s="27" t="str">
        <f t="shared" si="5"/>
        <v>10027-Clothing-(North America)</v>
      </c>
      <c r="T28" s="27"/>
    </row>
    <row r="29" spans="1:20" x14ac:dyDescent="0.35">
      <c r="A29" s="4">
        <v>10028</v>
      </c>
      <c r="B29" s="5">
        <v>45319</v>
      </c>
      <c r="C29" s="6" t="s">
        <v>21</v>
      </c>
      <c r="D29" s="6" t="s">
        <v>48</v>
      </c>
      <c r="E29" s="6">
        <v>3</v>
      </c>
      <c r="F29" s="6">
        <v>12.99</v>
      </c>
      <c r="G29" s="6">
        <v>38.97</v>
      </c>
      <c r="H29" s="6" t="s">
        <v>11</v>
      </c>
      <c r="I29" s="7" t="s">
        <v>12</v>
      </c>
      <c r="J29" s="22">
        <f>(Table1[[#This Row],[Total Revenue]] * 0.18) + Table1[[#This Row],[Total Revenue]]</f>
        <v>45.9846</v>
      </c>
      <c r="K29" s="6" t="str">
        <f>TRIM(Table1[[#This Row],[Product Name]])</f>
        <v>Pride and Prejudice by Jane Austen</v>
      </c>
      <c r="L29" s="6" t="str">
        <f>UPPER(Table1[[#This Row],[Trimmed words]])</f>
        <v>PRIDE AND PREJUDICE BY JANE AUSTEN</v>
      </c>
      <c r="M29" s="26" t="str">
        <f>LOWER(Table1[[#This Row],[Upper function]])</f>
        <v>pride and prejudice by jane austen</v>
      </c>
      <c r="N29" s="26" t="str">
        <f t="shared" si="0"/>
        <v>Boo</v>
      </c>
      <c r="O29" s="26" t="str">
        <f t="shared" si="1"/>
        <v>ks</v>
      </c>
      <c r="P29" s="27" t="str">
        <f t="shared" si="2"/>
        <v>Books</v>
      </c>
      <c r="Q29" s="27" t="str">
        <f t="shared" si="3"/>
        <v>Books</v>
      </c>
      <c r="R29" s="27" t="str">
        <f t="shared" si="4"/>
        <v>positionoks</v>
      </c>
      <c r="S29" s="27" t="str">
        <f t="shared" si="5"/>
        <v>10028-Books-(Europe)</v>
      </c>
      <c r="T29" s="27"/>
    </row>
    <row r="30" spans="1:20" x14ac:dyDescent="0.35">
      <c r="A30" s="4">
        <v>10029</v>
      </c>
      <c r="B30" s="5">
        <v>45320</v>
      </c>
      <c r="C30" s="6" t="s">
        <v>23</v>
      </c>
      <c r="D30" s="6" t="s">
        <v>49</v>
      </c>
      <c r="E30" s="6">
        <v>1</v>
      </c>
      <c r="F30" s="6">
        <v>29.99</v>
      </c>
      <c r="G30" s="6">
        <v>29.99</v>
      </c>
      <c r="H30" s="6" t="s">
        <v>15</v>
      </c>
      <c r="I30" s="7" t="s">
        <v>16</v>
      </c>
      <c r="J30" s="22">
        <f>(Table1[[#This Row],[Total Revenue]] * 0.18) + Table1[[#This Row],[Total Revenue]]</f>
        <v>35.388199999999998</v>
      </c>
      <c r="K30" s="6" t="str">
        <f>TRIM(Table1[[#This Row],[Product Name]])</f>
        <v>MAC Ruby Woo Lipstick</v>
      </c>
      <c r="L30" s="6" t="str">
        <f>UPPER(Table1[[#This Row],[Trimmed words]])</f>
        <v>MAC RUBY WOO LIPSTICK</v>
      </c>
      <c r="M30" s="26" t="str">
        <f>LOWER(Table1[[#This Row],[Upper function]])</f>
        <v>mac ruby woo lipstick</v>
      </c>
      <c r="N30" s="26" t="str">
        <f t="shared" si="0"/>
        <v>Bea</v>
      </c>
      <c r="O30" s="26" t="str">
        <f t="shared" si="1"/>
        <v>uty Prod</v>
      </c>
      <c r="P30" s="27" t="str">
        <f t="shared" si="2"/>
        <v>roducts</v>
      </c>
      <c r="Q30" s="27" t="str">
        <f t="shared" si="3"/>
        <v>Beworduty Products</v>
      </c>
      <c r="R30" s="27" t="str">
        <f t="shared" si="4"/>
        <v>positionauty Products</v>
      </c>
      <c r="S30" s="27" t="str">
        <f t="shared" si="5"/>
        <v>10029-Beauty Products-(Asia)</v>
      </c>
      <c r="T30" s="27"/>
    </row>
    <row r="31" spans="1:20" x14ac:dyDescent="0.35">
      <c r="A31" s="4">
        <v>10030</v>
      </c>
      <c r="B31" s="5">
        <v>45321</v>
      </c>
      <c r="C31" s="6" t="s">
        <v>25</v>
      </c>
      <c r="D31" s="6" t="s">
        <v>50</v>
      </c>
      <c r="E31" s="6">
        <v>2</v>
      </c>
      <c r="F31" s="6">
        <v>129.99</v>
      </c>
      <c r="G31" s="6">
        <v>259.98</v>
      </c>
      <c r="H31" s="6" t="s">
        <v>19</v>
      </c>
      <c r="I31" s="7" t="s">
        <v>12</v>
      </c>
      <c r="J31" s="22">
        <f>(Table1[[#This Row],[Total Revenue]] * 0.18) + Table1[[#This Row],[Total Revenue]]</f>
        <v>306.77640000000002</v>
      </c>
      <c r="K31" s="6" t="str">
        <f>TRIM(Table1[[#This Row],[Product Name]])</f>
        <v>Nike Air Zoom Pegasus 37</v>
      </c>
      <c r="L31" s="6" t="str">
        <f>UPPER(Table1[[#This Row],[Trimmed words]])</f>
        <v>NIKE AIR ZOOM PEGASUS 37</v>
      </c>
      <c r="M31" s="26" t="str">
        <f>LOWER(Table1[[#This Row],[Upper function]])</f>
        <v>nike air zoom pegasus 37</v>
      </c>
      <c r="N31" s="26" t="str">
        <f t="shared" si="0"/>
        <v>Spo</v>
      </c>
      <c r="O31" s="26" t="str">
        <f t="shared" si="1"/>
        <v>rts</v>
      </c>
      <c r="P31" s="27" t="str">
        <f t="shared" si="2"/>
        <v>Sports</v>
      </c>
      <c r="Q31" s="27" t="str">
        <f t="shared" si="3"/>
        <v>Sports</v>
      </c>
      <c r="R31" s="27" t="str">
        <f t="shared" si="4"/>
        <v>positionorts</v>
      </c>
      <c r="S31" s="27" t="str">
        <f t="shared" si="5"/>
        <v>10030-Sports-(North America)</v>
      </c>
      <c r="T31" s="27"/>
    </row>
    <row r="32" spans="1:20" x14ac:dyDescent="0.35">
      <c r="A32" s="4">
        <v>10031</v>
      </c>
      <c r="B32" s="5">
        <v>45322</v>
      </c>
      <c r="C32" s="6" t="s">
        <v>9</v>
      </c>
      <c r="D32" s="6" t="s">
        <v>51</v>
      </c>
      <c r="E32" s="6">
        <v>2</v>
      </c>
      <c r="F32" s="6">
        <v>349.99</v>
      </c>
      <c r="G32" s="6">
        <v>699.98</v>
      </c>
      <c r="H32" s="6" t="s">
        <v>11</v>
      </c>
      <c r="I32" s="7" t="s">
        <v>12</v>
      </c>
      <c r="J32" s="22">
        <f>(Table1[[#This Row],[Total Revenue]] * 0.18) + Table1[[#This Row],[Total Revenue]]</f>
        <v>825.97640000000001</v>
      </c>
      <c r="K32" s="6" t="str">
        <f>TRIM(Table1[[#This Row],[Product Name]])</f>
        <v>Sony WH-1000XM4 Headphones</v>
      </c>
      <c r="L32" s="6" t="str">
        <f>UPPER(Table1[[#This Row],[Trimmed words]])</f>
        <v>SONY WH-1000XM4 HEADPHONES</v>
      </c>
      <c r="M32" s="26" t="str">
        <f>LOWER(Table1[[#This Row],[Upper function]])</f>
        <v>sony wh-1000xm4 headphones</v>
      </c>
      <c r="N32" s="26" t="str">
        <f t="shared" si="0"/>
        <v>Ele</v>
      </c>
      <c r="O32" s="26" t="str">
        <f t="shared" si="1"/>
        <v>ctronics</v>
      </c>
      <c r="P32" s="27" t="str">
        <f t="shared" si="2"/>
        <v>tronics</v>
      </c>
      <c r="Q32" s="27" t="str">
        <f t="shared" si="3"/>
        <v>Electronics</v>
      </c>
      <c r="R32" s="27" t="str">
        <f t="shared" si="4"/>
        <v>positionectronics</v>
      </c>
      <c r="S32" s="27" t="str">
        <f t="shared" si="5"/>
        <v>10031-Electronics-(Europe)</v>
      </c>
      <c r="T32" s="27"/>
    </row>
    <row r="33" spans="1:20" x14ac:dyDescent="0.35">
      <c r="A33" s="4">
        <v>10032</v>
      </c>
      <c r="B33" s="5">
        <v>45323</v>
      </c>
      <c r="C33" s="6" t="s">
        <v>13</v>
      </c>
      <c r="D33" s="6" t="s">
        <v>52</v>
      </c>
      <c r="E33" s="6">
        <v>3</v>
      </c>
      <c r="F33" s="6">
        <v>89.99</v>
      </c>
      <c r="G33" s="6">
        <v>269.97000000000003</v>
      </c>
      <c r="H33" s="6" t="s">
        <v>15</v>
      </c>
      <c r="I33" s="7" t="s">
        <v>16</v>
      </c>
      <c r="J33" s="22">
        <f>(Table1[[#This Row],[Total Revenue]] * 0.18) + Table1[[#This Row],[Total Revenue]]</f>
        <v>318.56460000000004</v>
      </c>
      <c r="K33" s="6" t="str">
        <f>TRIM(Table1[[#This Row],[Product Name]])</f>
        <v>Instant Pot Duo</v>
      </c>
      <c r="L33" s="6" t="str">
        <f>UPPER(Table1[[#This Row],[Trimmed words]])</f>
        <v>INSTANT POT DUO</v>
      </c>
      <c r="M33" s="26" t="str">
        <f>LOWER(Table1[[#This Row],[Upper function]])</f>
        <v>instant pot duo</v>
      </c>
      <c r="N33" s="26" t="str">
        <f t="shared" si="0"/>
        <v>Hom</v>
      </c>
      <c r="O33" s="26" t="str">
        <f t="shared" si="1"/>
        <v>e Applia</v>
      </c>
      <c r="P33" s="27" t="str">
        <f t="shared" si="2"/>
        <v>liances</v>
      </c>
      <c r="Q33" s="27" t="str">
        <f t="shared" si="3"/>
        <v>Home Appliwordnces</v>
      </c>
      <c r="R33" s="27" t="str">
        <f t="shared" si="4"/>
        <v>positionme Appliances</v>
      </c>
      <c r="S33" s="27" t="str">
        <f t="shared" si="5"/>
        <v>10032-Home Appliances-(Asia)</v>
      </c>
      <c r="T33" s="27"/>
    </row>
    <row r="34" spans="1:20" x14ac:dyDescent="0.35">
      <c r="A34" s="4">
        <v>10033</v>
      </c>
      <c r="B34" s="5">
        <v>45324</v>
      </c>
      <c r="C34" s="6" t="s">
        <v>17</v>
      </c>
      <c r="D34" s="6" t="s">
        <v>53</v>
      </c>
      <c r="E34" s="6">
        <v>5</v>
      </c>
      <c r="F34" s="6">
        <v>29.99</v>
      </c>
      <c r="G34" s="6">
        <v>149.94999999999999</v>
      </c>
      <c r="H34" s="6" t="s">
        <v>19</v>
      </c>
      <c r="I34" s="7" t="s">
        <v>20</v>
      </c>
      <c r="J34" s="22">
        <f>(Table1[[#This Row],[Total Revenue]] * 0.18) + Table1[[#This Row],[Total Revenue]]</f>
        <v>176.94099999999997</v>
      </c>
      <c r="K34" s="6" t="str">
        <f>TRIM(Table1[[#This Row],[Product Name]])</f>
        <v>Under Armour HeatGear T-Shirt</v>
      </c>
      <c r="L34" s="6" t="str">
        <f>UPPER(Table1[[#This Row],[Trimmed words]])</f>
        <v>UNDER ARMOUR HEATGEAR T-SHIRT</v>
      </c>
      <c r="M34" s="26" t="str">
        <f>LOWER(Table1[[#This Row],[Upper function]])</f>
        <v>under armour heatgear t-shirt</v>
      </c>
      <c r="N34" s="26" t="str">
        <f t="shared" si="0"/>
        <v>Clo</v>
      </c>
      <c r="O34" s="26" t="str">
        <f t="shared" si="1"/>
        <v>thing</v>
      </c>
      <c r="P34" s="27" t="str">
        <f t="shared" si="2"/>
        <v>lothing</v>
      </c>
      <c r="Q34" s="27" t="str">
        <f t="shared" si="3"/>
        <v>Clothing</v>
      </c>
      <c r="R34" s="27" t="str">
        <f t="shared" si="4"/>
        <v>positionothing</v>
      </c>
      <c r="S34" s="27" t="str">
        <f t="shared" si="5"/>
        <v>10033-Clothing-(North America)</v>
      </c>
      <c r="T34" s="27"/>
    </row>
    <row r="35" spans="1:20" x14ac:dyDescent="0.35">
      <c r="A35" s="4">
        <v>10034</v>
      </c>
      <c r="B35" s="5">
        <v>45325</v>
      </c>
      <c r="C35" s="6" t="s">
        <v>21</v>
      </c>
      <c r="D35" s="6" t="s">
        <v>54</v>
      </c>
      <c r="E35" s="6">
        <v>4</v>
      </c>
      <c r="F35" s="6">
        <v>19.989999999999998</v>
      </c>
      <c r="G35" s="6">
        <v>79.959999999999994</v>
      </c>
      <c r="H35" s="6" t="s">
        <v>11</v>
      </c>
      <c r="I35" s="7" t="s">
        <v>12</v>
      </c>
      <c r="J35" s="22">
        <f>(Table1[[#This Row],[Total Revenue]] * 0.18) + Table1[[#This Row],[Total Revenue]]</f>
        <v>94.352799999999988</v>
      </c>
      <c r="K35" s="6" t="str">
        <f>TRIM(Table1[[#This Row],[Product Name]])</f>
        <v>1984 by George Orwell</v>
      </c>
      <c r="L35" s="6" t="str">
        <f>UPPER(Table1[[#This Row],[Trimmed words]])</f>
        <v>1984 BY GEORGE ORWELL</v>
      </c>
      <c r="M35" s="26" t="str">
        <f>LOWER(Table1[[#This Row],[Upper function]])</f>
        <v>1984 by george orwell</v>
      </c>
      <c r="N35" s="26" t="str">
        <f t="shared" si="0"/>
        <v>Boo</v>
      </c>
      <c r="O35" s="26" t="str">
        <f t="shared" si="1"/>
        <v>ks</v>
      </c>
      <c r="P35" s="27" t="str">
        <f t="shared" si="2"/>
        <v>Books</v>
      </c>
      <c r="Q35" s="27" t="str">
        <f t="shared" si="3"/>
        <v>Books</v>
      </c>
      <c r="R35" s="27" t="str">
        <f t="shared" si="4"/>
        <v>positionoks</v>
      </c>
      <c r="S35" s="27" t="str">
        <f t="shared" si="5"/>
        <v>10034-Books-(Europe)</v>
      </c>
      <c r="T35" s="27"/>
    </row>
    <row r="36" spans="1:20" x14ac:dyDescent="0.35">
      <c r="A36" s="4">
        <v>10035</v>
      </c>
      <c r="B36" s="5">
        <v>45326</v>
      </c>
      <c r="C36" s="6" t="s">
        <v>23</v>
      </c>
      <c r="D36" s="6" t="s">
        <v>55</v>
      </c>
      <c r="E36" s="6">
        <v>2</v>
      </c>
      <c r="F36" s="6">
        <v>39.99</v>
      </c>
      <c r="G36" s="6">
        <v>79.98</v>
      </c>
      <c r="H36" s="6" t="s">
        <v>15</v>
      </c>
      <c r="I36" s="7" t="s">
        <v>16</v>
      </c>
      <c r="J36" s="22">
        <f>(Table1[[#This Row],[Total Revenue]] * 0.18) + Table1[[#This Row],[Total Revenue]]</f>
        <v>94.376400000000004</v>
      </c>
      <c r="K36" s="6" t="str">
        <f>TRIM(Table1[[#This Row],[Product Name]])</f>
        <v>L'Oreal Revitalift Serum</v>
      </c>
      <c r="L36" s="6" t="str">
        <f>UPPER(Table1[[#This Row],[Trimmed words]])</f>
        <v>L'OREAL REVITALIFT SERUM</v>
      </c>
      <c r="M36" s="26" t="str">
        <f>LOWER(Table1[[#This Row],[Upper function]])</f>
        <v>l'oreal revitalift serum</v>
      </c>
      <c r="N36" s="26" t="str">
        <f t="shared" si="0"/>
        <v>Bea</v>
      </c>
      <c r="O36" s="26" t="str">
        <f t="shared" si="1"/>
        <v>uty Prod</v>
      </c>
      <c r="P36" s="27" t="str">
        <f t="shared" si="2"/>
        <v>roducts</v>
      </c>
      <c r="Q36" s="27" t="str">
        <f t="shared" si="3"/>
        <v>Beworduty Products</v>
      </c>
      <c r="R36" s="27" t="str">
        <f t="shared" si="4"/>
        <v>positionauty Products</v>
      </c>
      <c r="S36" s="27" t="str">
        <f t="shared" si="5"/>
        <v>10035-Beauty Products-(Asia)</v>
      </c>
      <c r="T36" s="27"/>
    </row>
    <row r="37" spans="1:20" x14ac:dyDescent="0.35">
      <c r="A37" s="4">
        <v>10036</v>
      </c>
      <c r="B37" s="5">
        <v>45327</v>
      </c>
      <c r="C37" s="6" t="s">
        <v>25</v>
      </c>
      <c r="D37" s="6" t="s">
        <v>56</v>
      </c>
      <c r="E37" s="6">
        <v>1</v>
      </c>
      <c r="F37" s="6">
        <v>1895</v>
      </c>
      <c r="G37" s="6">
        <v>1895</v>
      </c>
      <c r="H37" s="6" t="s">
        <v>19</v>
      </c>
      <c r="I37" s="7" t="s">
        <v>12</v>
      </c>
      <c r="J37" s="22">
        <f>(Table1[[#This Row],[Total Revenue]] * 0.18) + Table1[[#This Row],[Total Revenue]]</f>
        <v>2236.1</v>
      </c>
      <c r="K37" s="6" t="str">
        <f>TRIM(Table1[[#This Row],[Product Name]])</f>
        <v>Peloton Bike</v>
      </c>
      <c r="L37" s="6" t="str">
        <f>UPPER(Table1[[#This Row],[Trimmed words]])</f>
        <v>PELOTON BIKE</v>
      </c>
      <c r="M37" s="26" t="str">
        <f>LOWER(Table1[[#This Row],[Upper function]])</f>
        <v>peloton bike</v>
      </c>
      <c r="N37" s="26" t="str">
        <f t="shared" si="0"/>
        <v>Spo</v>
      </c>
      <c r="O37" s="26" t="str">
        <f t="shared" si="1"/>
        <v>rts</v>
      </c>
      <c r="P37" s="27" t="str">
        <f t="shared" si="2"/>
        <v>Sports</v>
      </c>
      <c r="Q37" s="27" t="str">
        <f t="shared" si="3"/>
        <v>Sports</v>
      </c>
      <c r="R37" s="27" t="str">
        <f t="shared" si="4"/>
        <v>positionorts</v>
      </c>
      <c r="S37" s="27" t="str">
        <f t="shared" si="5"/>
        <v>10036-Sports-(North America)</v>
      </c>
      <c r="T37" s="27"/>
    </row>
    <row r="38" spans="1:20" x14ac:dyDescent="0.35">
      <c r="A38" s="4">
        <v>10037</v>
      </c>
      <c r="B38" s="5">
        <v>45328</v>
      </c>
      <c r="C38" s="6" t="s">
        <v>9</v>
      </c>
      <c r="D38" s="6" t="s">
        <v>57</v>
      </c>
      <c r="E38" s="6">
        <v>3</v>
      </c>
      <c r="F38" s="6">
        <v>399.99</v>
      </c>
      <c r="G38" s="6">
        <v>1199.97</v>
      </c>
      <c r="H38" s="6" t="s">
        <v>11</v>
      </c>
      <c r="I38" s="7" t="s">
        <v>12</v>
      </c>
      <c r="J38" s="22">
        <f>(Table1[[#This Row],[Total Revenue]] * 0.18) + Table1[[#This Row],[Total Revenue]]</f>
        <v>1415.9646</v>
      </c>
      <c r="K38" s="6" t="str">
        <f>TRIM(Table1[[#This Row],[Product Name]])</f>
        <v>Apple Watch Series 8</v>
      </c>
      <c r="L38" s="6" t="str">
        <f>UPPER(Table1[[#This Row],[Trimmed words]])</f>
        <v>APPLE WATCH SERIES 8</v>
      </c>
      <c r="M38" s="26" t="str">
        <f>LOWER(Table1[[#This Row],[Upper function]])</f>
        <v>apple watch series 8</v>
      </c>
      <c r="N38" s="26" t="str">
        <f t="shared" si="0"/>
        <v>Ele</v>
      </c>
      <c r="O38" s="26" t="str">
        <f t="shared" si="1"/>
        <v>ctronics</v>
      </c>
      <c r="P38" s="27" t="str">
        <f t="shared" si="2"/>
        <v>tronics</v>
      </c>
      <c r="Q38" s="27" t="str">
        <f t="shared" si="3"/>
        <v>Electronics</v>
      </c>
      <c r="R38" s="27" t="str">
        <f t="shared" si="4"/>
        <v>positionectronics</v>
      </c>
      <c r="S38" s="27" t="str">
        <f t="shared" si="5"/>
        <v>10037-Electronics-(Europe)</v>
      </c>
      <c r="T38" s="27"/>
    </row>
    <row r="39" spans="1:20" x14ac:dyDescent="0.35">
      <c r="A39" s="4">
        <v>10038</v>
      </c>
      <c r="B39" s="5">
        <v>45329</v>
      </c>
      <c r="C39" s="6" t="s">
        <v>13</v>
      </c>
      <c r="D39" s="6" t="s">
        <v>58</v>
      </c>
      <c r="E39" s="6">
        <v>2</v>
      </c>
      <c r="F39" s="6">
        <v>799.99</v>
      </c>
      <c r="G39" s="6">
        <v>1599.98</v>
      </c>
      <c r="H39" s="6" t="s">
        <v>15</v>
      </c>
      <c r="I39" s="7" t="s">
        <v>16</v>
      </c>
      <c r="J39" s="22">
        <f>(Table1[[#This Row],[Total Revenue]] * 0.18) + Table1[[#This Row],[Total Revenue]]</f>
        <v>1887.9764</v>
      </c>
      <c r="K39" s="6" t="str">
        <f>TRIM(Table1[[#This Row],[Product Name]])</f>
        <v>Roomba i7+</v>
      </c>
      <c r="L39" s="6" t="str">
        <f>UPPER(Table1[[#This Row],[Trimmed words]])</f>
        <v>ROOMBA I7+</v>
      </c>
      <c r="M39" s="26" t="str">
        <f>LOWER(Table1[[#This Row],[Upper function]])</f>
        <v>roomba i7+</v>
      </c>
      <c r="N39" s="26" t="str">
        <f t="shared" si="0"/>
        <v>Hom</v>
      </c>
      <c r="O39" s="26" t="str">
        <f t="shared" si="1"/>
        <v>e Applia</v>
      </c>
      <c r="P39" s="27" t="str">
        <f t="shared" si="2"/>
        <v>liances</v>
      </c>
      <c r="Q39" s="27" t="str">
        <f t="shared" si="3"/>
        <v>Home Appliwordnces</v>
      </c>
      <c r="R39" s="27" t="str">
        <f t="shared" si="4"/>
        <v>positionme Appliances</v>
      </c>
      <c r="S39" s="27" t="str">
        <f t="shared" si="5"/>
        <v>10038-Home Appliances-(Asia)</v>
      </c>
      <c r="T39" s="27"/>
    </row>
    <row r="40" spans="1:20" x14ac:dyDescent="0.35">
      <c r="A40" s="4">
        <v>10039</v>
      </c>
      <c r="B40" s="5">
        <v>45330</v>
      </c>
      <c r="C40" s="6" t="s">
        <v>17</v>
      </c>
      <c r="D40" s="6" t="s">
        <v>59</v>
      </c>
      <c r="E40" s="6">
        <v>4</v>
      </c>
      <c r="F40" s="6">
        <v>59.99</v>
      </c>
      <c r="G40" s="6">
        <v>239.96</v>
      </c>
      <c r="H40" s="6" t="s">
        <v>19</v>
      </c>
      <c r="I40" s="7" t="s">
        <v>20</v>
      </c>
      <c r="J40" s="22">
        <f>(Table1[[#This Row],[Total Revenue]] * 0.18) + Table1[[#This Row],[Total Revenue]]</f>
        <v>283.15280000000001</v>
      </c>
      <c r="K40" s="6" t="str">
        <f>TRIM(Table1[[#This Row],[Product Name]])</f>
        <v>Columbia Fleece Jacket</v>
      </c>
      <c r="L40" s="6" t="str">
        <f>UPPER(Table1[[#This Row],[Trimmed words]])</f>
        <v>COLUMBIA FLEECE JACKET</v>
      </c>
      <c r="M40" s="26" t="str">
        <f>LOWER(Table1[[#This Row],[Upper function]])</f>
        <v>columbia fleece jacket</v>
      </c>
      <c r="N40" s="26" t="str">
        <f t="shared" si="0"/>
        <v>Clo</v>
      </c>
      <c r="O40" s="26" t="str">
        <f t="shared" si="1"/>
        <v>thing</v>
      </c>
      <c r="P40" s="27" t="str">
        <f t="shared" si="2"/>
        <v>lothing</v>
      </c>
      <c r="Q40" s="27" t="str">
        <f t="shared" si="3"/>
        <v>Clothing</v>
      </c>
      <c r="R40" s="27" t="str">
        <f t="shared" si="4"/>
        <v>positionothing</v>
      </c>
      <c r="S40" s="27" t="str">
        <f t="shared" si="5"/>
        <v>10039-Clothing-(North America)</v>
      </c>
      <c r="T40" s="27"/>
    </row>
    <row r="41" spans="1:20" x14ac:dyDescent="0.35">
      <c r="A41" s="4">
        <v>10040</v>
      </c>
      <c r="B41" s="5">
        <v>45331</v>
      </c>
      <c r="C41" s="6" t="s">
        <v>21</v>
      </c>
      <c r="D41" s="6" t="s">
        <v>60</v>
      </c>
      <c r="E41" s="6">
        <v>3</v>
      </c>
      <c r="F41" s="6">
        <v>24.99</v>
      </c>
      <c r="G41" s="6">
        <v>74.97</v>
      </c>
      <c r="H41" s="6" t="s">
        <v>11</v>
      </c>
      <c r="I41" s="7" t="s">
        <v>12</v>
      </c>
      <c r="J41" s="22">
        <f>(Table1[[#This Row],[Total Revenue]] * 0.18) + Table1[[#This Row],[Total Revenue]]</f>
        <v>88.464600000000004</v>
      </c>
      <c r="K41" s="6" t="str">
        <f>TRIM(Table1[[#This Row],[Product Name]])</f>
        <v>Harry Potter and the Sorcerer's Stone</v>
      </c>
      <c r="L41" s="6" t="str">
        <f>UPPER(Table1[[#This Row],[Trimmed words]])</f>
        <v>HARRY POTTER AND THE SORCERER'S STONE</v>
      </c>
      <c r="M41" s="26" t="str">
        <f>LOWER(Table1[[#This Row],[Upper function]])</f>
        <v>harry potter and the sorcerer's stone</v>
      </c>
      <c r="N41" s="26" t="str">
        <f t="shared" si="0"/>
        <v>Boo</v>
      </c>
      <c r="O41" s="26" t="str">
        <f t="shared" si="1"/>
        <v>ks</v>
      </c>
      <c r="P41" s="27" t="str">
        <f t="shared" si="2"/>
        <v>Books</v>
      </c>
      <c r="Q41" s="27" t="str">
        <f t="shared" si="3"/>
        <v>Books</v>
      </c>
      <c r="R41" s="27" t="str">
        <f t="shared" si="4"/>
        <v>positionoks</v>
      </c>
      <c r="S41" s="27" t="str">
        <f t="shared" si="5"/>
        <v>10040-Books-(Europe)</v>
      </c>
      <c r="T41" s="27"/>
    </row>
    <row r="42" spans="1:20" x14ac:dyDescent="0.35">
      <c r="A42" s="4">
        <v>10041</v>
      </c>
      <c r="B42" s="5">
        <v>45332</v>
      </c>
      <c r="C42" s="6" t="s">
        <v>23</v>
      </c>
      <c r="D42" s="6" t="s">
        <v>61</v>
      </c>
      <c r="E42" s="6">
        <v>1</v>
      </c>
      <c r="F42" s="6">
        <v>105</v>
      </c>
      <c r="G42" s="6">
        <v>105</v>
      </c>
      <c r="H42" s="6" t="s">
        <v>15</v>
      </c>
      <c r="I42" s="7" t="s">
        <v>16</v>
      </c>
      <c r="J42" s="22">
        <f>(Table1[[#This Row],[Total Revenue]] * 0.18) + Table1[[#This Row],[Total Revenue]]</f>
        <v>123.9</v>
      </c>
      <c r="K42" s="6" t="str">
        <f>TRIM(Table1[[#This Row],[Product Name]])</f>
        <v>Estee Lauder Advanced Night Repair</v>
      </c>
      <c r="L42" s="6" t="str">
        <f>UPPER(Table1[[#This Row],[Trimmed words]])</f>
        <v>ESTEE LAUDER ADVANCED NIGHT REPAIR</v>
      </c>
      <c r="M42" s="26" t="str">
        <f>LOWER(Table1[[#This Row],[Upper function]])</f>
        <v>estee lauder advanced night repair</v>
      </c>
      <c r="N42" s="26" t="str">
        <f t="shared" si="0"/>
        <v>Bea</v>
      </c>
      <c r="O42" s="26" t="str">
        <f t="shared" si="1"/>
        <v>uty Prod</v>
      </c>
      <c r="P42" s="27" t="str">
        <f t="shared" si="2"/>
        <v>roducts</v>
      </c>
      <c r="Q42" s="27" t="str">
        <f t="shared" si="3"/>
        <v>Beworduty Products</v>
      </c>
      <c r="R42" s="27" t="str">
        <f t="shared" si="4"/>
        <v>positionauty Products</v>
      </c>
      <c r="S42" s="27" t="str">
        <f t="shared" si="5"/>
        <v>10041-Beauty Products-(Asia)</v>
      </c>
      <c r="T42" s="27"/>
    </row>
    <row r="43" spans="1:20" x14ac:dyDescent="0.35">
      <c r="A43" s="4">
        <v>10042</v>
      </c>
      <c r="B43" s="5">
        <v>45333</v>
      </c>
      <c r="C43" s="6" t="s">
        <v>25</v>
      </c>
      <c r="D43" s="6" t="s">
        <v>62</v>
      </c>
      <c r="E43" s="6">
        <v>2</v>
      </c>
      <c r="F43" s="6">
        <v>129.99</v>
      </c>
      <c r="G43" s="6">
        <v>259.98</v>
      </c>
      <c r="H43" s="6" t="s">
        <v>19</v>
      </c>
      <c r="I43" s="7" t="s">
        <v>12</v>
      </c>
      <c r="J43" s="22">
        <f>(Table1[[#This Row],[Total Revenue]] * 0.18) + Table1[[#This Row],[Total Revenue]]</f>
        <v>306.77640000000002</v>
      </c>
      <c r="K43" s="6" t="str">
        <f>TRIM(Table1[[#This Row],[Product Name]])</f>
        <v>Fitbit Charge 5</v>
      </c>
      <c r="L43" s="6" t="str">
        <f>UPPER(Table1[[#This Row],[Trimmed words]])</f>
        <v>FITBIT CHARGE 5</v>
      </c>
      <c r="M43" s="26" t="str">
        <f>LOWER(Table1[[#This Row],[Upper function]])</f>
        <v>fitbit charge 5</v>
      </c>
      <c r="N43" s="26" t="str">
        <f t="shared" si="0"/>
        <v>Spo</v>
      </c>
      <c r="O43" s="26" t="str">
        <f t="shared" si="1"/>
        <v>rts</v>
      </c>
      <c r="P43" s="27" t="str">
        <f t="shared" si="2"/>
        <v>Sports</v>
      </c>
      <c r="Q43" s="27" t="str">
        <f t="shared" si="3"/>
        <v>Sports</v>
      </c>
      <c r="R43" s="27" t="str">
        <f t="shared" si="4"/>
        <v>positionorts</v>
      </c>
      <c r="S43" s="27" t="str">
        <f t="shared" si="5"/>
        <v>10042-Sports-(North America)</v>
      </c>
      <c r="T43" s="27"/>
    </row>
    <row r="44" spans="1:20" x14ac:dyDescent="0.35">
      <c r="A44" s="4">
        <v>10043</v>
      </c>
      <c r="B44" s="5">
        <v>45334</v>
      </c>
      <c r="C44" s="6" t="s">
        <v>9</v>
      </c>
      <c r="D44" s="6" t="s">
        <v>63</v>
      </c>
      <c r="E44" s="6">
        <v>3</v>
      </c>
      <c r="F44" s="6">
        <v>399.99</v>
      </c>
      <c r="G44" s="6">
        <v>1199.97</v>
      </c>
      <c r="H44" s="6" t="s">
        <v>11</v>
      </c>
      <c r="I44" s="7" t="s">
        <v>12</v>
      </c>
      <c r="J44" s="22">
        <f>(Table1[[#This Row],[Total Revenue]] * 0.18) + Table1[[#This Row],[Total Revenue]]</f>
        <v>1415.9646</v>
      </c>
      <c r="K44" s="6" t="str">
        <f>TRIM(Table1[[#This Row],[Product Name]])</f>
        <v>GoPro HERO10 Black</v>
      </c>
      <c r="L44" s="6" t="str">
        <f>UPPER(Table1[[#This Row],[Trimmed words]])</f>
        <v>GOPRO HERO10 BLACK</v>
      </c>
      <c r="M44" s="26" t="str">
        <f>LOWER(Table1[[#This Row],[Upper function]])</f>
        <v>gopro hero10 black</v>
      </c>
      <c r="N44" s="26" t="str">
        <f t="shared" si="0"/>
        <v>Ele</v>
      </c>
      <c r="O44" s="26" t="str">
        <f t="shared" si="1"/>
        <v>ctronics</v>
      </c>
      <c r="P44" s="27" t="str">
        <f t="shared" si="2"/>
        <v>tronics</v>
      </c>
      <c r="Q44" s="27" t="str">
        <f t="shared" si="3"/>
        <v>Electronics</v>
      </c>
      <c r="R44" s="27" t="str">
        <f t="shared" si="4"/>
        <v>positionectronics</v>
      </c>
      <c r="S44" s="27" t="str">
        <f t="shared" si="5"/>
        <v>10043-Electronics-(Europe)</v>
      </c>
      <c r="T44" s="27"/>
    </row>
    <row r="45" spans="1:20" x14ac:dyDescent="0.35">
      <c r="A45" s="4">
        <v>10044</v>
      </c>
      <c r="B45" s="5">
        <v>45335</v>
      </c>
      <c r="C45" s="6" t="s">
        <v>13</v>
      </c>
      <c r="D45" s="6" t="s">
        <v>64</v>
      </c>
      <c r="E45" s="6">
        <v>1</v>
      </c>
      <c r="F45" s="6">
        <v>199.99</v>
      </c>
      <c r="G45" s="6">
        <v>199.99</v>
      </c>
      <c r="H45" s="6" t="s">
        <v>15</v>
      </c>
      <c r="I45" s="7" t="s">
        <v>16</v>
      </c>
      <c r="J45" s="22">
        <f>(Table1[[#This Row],[Total Revenue]] * 0.18) + Table1[[#This Row],[Total Revenue]]</f>
        <v>235.98820000000001</v>
      </c>
      <c r="K45" s="6" t="str">
        <f>TRIM(Table1[[#This Row],[Product Name]])</f>
        <v>Nespresso VertuoPlus</v>
      </c>
      <c r="L45" s="6" t="str">
        <f>UPPER(Table1[[#This Row],[Trimmed words]])</f>
        <v>NESPRESSO VERTUOPLUS</v>
      </c>
      <c r="M45" s="26" t="str">
        <f>LOWER(Table1[[#This Row],[Upper function]])</f>
        <v>nespresso vertuoplus</v>
      </c>
      <c r="N45" s="26" t="str">
        <f t="shared" si="0"/>
        <v>Hom</v>
      </c>
      <c r="O45" s="26" t="str">
        <f t="shared" si="1"/>
        <v>e Applia</v>
      </c>
      <c r="P45" s="27" t="str">
        <f t="shared" si="2"/>
        <v>liances</v>
      </c>
      <c r="Q45" s="27" t="str">
        <f t="shared" si="3"/>
        <v>Home Appliwordnces</v>
      </c>
      <c r="R45" s="27" t="str">
        <f t="shared" si="4"/>
        <v>positionme Appliances</v>
      </c>
      <c r="S45" s="27" t="str">
        <f t="shared" si="5"/>
        <v>10044-Home Appliances-(Asia)</v>
      </c>
      <c r="T45" s="27"/>
    </row>
    <row r="46" spans="1:20" x14ac:dyDescent="0.35">
      <c r="A46" s="4">
        <v>10045</v>
      </c>
      <c r="B46" s="5">
        <v>45336</v>
      </c>
      <c r="C46" s="6" t="s">
        <v>17</v>
      </c>
      <c r="D46" s="6" t="s">
        <v>65</v>
      </c>
      <c r="E46" s="6">
        <v>2</v>
      </c>
      <c r="F46" s="6">
        <v>139.99</v>
      </c>
      <c r="G46" s="6">
        <v>279.98</v>
      </c>
      <c r="H46" s="6" t="s">
        <v>19</v>
      </c>
      <c r="I46" s="7" t="s">
        <v>20</v>
      </c>
      <c r="J46" s="22">
        <f>(Table1[[#This Row],[Total Revenue]] * 0.18) + Table1[[#This Row],[Total Revenue]]</f>
        <v>330.37639999999999</v>
      </c>
      <c r="K46" s="6" t="str">
        <f>TRIM(Table1[[#This Row],[Product Name]])</f>
        <v>Patagonia Better Sweater</v>
      </c>
      <c r="L46" s="6" t="str">
        <f>UPPER(Table1[[#This Row],[Trimmed words]])</f>
        <v>PATAGONIA BETTER SWEATER</v>
      </c>
      <c r="M46" s="26" t="str">
        <f>LOWER(Table1[[#This Row],[Upper function]])</f>
        <v>patagonia better sweater</v>
      </c>
      <c r="N46" s="26" t="str">
        <f t="shared" si="0"/>
        <v>Clo</v>
      </c>
      <c r="O46" s="26" t="str">
        <f t="shared" si="1"/>
        <v>thing</v>
      </c>
      <c r="P46" s="27" t="str">
        <f t="shared" si="2"/>
        <v>lothing</v>
      </c>
      <c r="Q46" s="27" t="str">
        <f t="shared" si="3"/>
        <v>Clothing</v>
      </c>
      <c r="R46" s="27" t="str">
        <f t="shared" si="4"/>
        <v>positionothing</v>
      </c>
      <c r="S46" s="27" t="str">
        <f t="shared" si="5"/>
        <v>10045-Clothing-(North America)</v>
      </c>
      <c r="T46" s="27"/>
    </row>
    <row r="47" spans="1:20" x14ac:dyDescent="0.35">
      <c r="A47" s="4">
        <v>10046</v>
      </c>
      <c r="B47" s="5">
        <v>45337</v>
      </c>
      <c r="C47" s="6" t="s">
        <v>21</v>
      </c>
      <c r="D47" s="6" t="s">
        <v>66</v>
      </c>
      <c r="E47" s="6">
        <v>4</v>
      </c>
      <c r="F47" s="6">
        <v>32.5</v>
      </c>
      <c r="G47" s="6">
        <v>130</v>
      </c>
      <c r="H47" s="6" t="s">
        <v>11</v>
      </c>
      <c r="I47" s="7" t="s">
        <v>12</v>
      </c>
      <c r="J47" s="22">
        <f>(Table1[[#This Row],[Total Revenue]] * 0.18) + Table1[[#This Row],[Total Revenue]]</f>
        <v>153.4</v>
      </c>
      <c r="K47" s="6" t="str">
        <f>TRIM(Table1[[#This Row],[Product Name]])</f>
        <v>Becoming by Michelle Obama</v>
      </c>
      <c r="L47" s="6" t="str">
        <f>UPPER(Table1[[#This Row],[Trimmed words]])</f>
        <v>BECOMING BY MICHELLE OBAMA</v>
      </c>
      <c r="M47" s="26" t="str">
        <f>LOWER(Table1[[#This Row],[Upper function]])</f>
        <v>becoming by michelle obama</v>
      </c>
      <c r="N47" s="26" t="str">
        <f t="shared" si="0"/>
        <v>Boo</v>
      </c>
      <c r="O47" s="26" t="str">
        <f t="shared" si="1"/>
        <v>ks</v>
      </c>
      <c r="P47" s="27" t="str">
        <f t="shared" si="2"/>
        <v>Books</v>
      </c>
      <c r="Q47" s="27" t="str">
        <f t="shared" si="3"/>
        <v>Books</v>
      </c>
      <c r="R47" s="27" t="str">
        <f t="shared" si="4"/>
        <v>positionoks</v>
      </c>
      <c r="S47" s="27" t="str">
        <f t="shared" si="5"/>
        <v>10046-Books-(Europe)</v>
      </c>
      <c r="T47" s="27"/>
    </row>
    <row r="48" spans="1:20" x14ac:dyDescent="0.35">
      <c r="A48" s="4">
        <v>10047</v>
      </c>
      <c r="B48" s="5">
        <v>45338</v>
      </c>
      <c r="C48" s="6" t="s">
        <v>23</v>
      </c>
      <c r="D48" s="6" t="s">
        <v>67</v>
      </c>
      <c r="E48" s="6">
        <v>1</v>
      </c>
      <c r="F48" s="6">
        <v>52</v>
      </c>
      <c r="G48" s="6">
        <v>52</v>
      </c>
      <c r="H48" s="6" t="s">
        <v>15</v>
      </c>
      <c r="I48" s="7" t="s">
        <v>16</v>
      </c>
      <c r="J48" s="22">
        <f>(Table1[[#This Row],[Total Revenue]] * 0.18) + Table1[[#This Row],[Total Revenue]]</f>
        <v>61.36</v>
      </c>
      <c r="K48" s="6" t="str">
        <f>TRIM(Table1[[#This Row],[Product Name]])</f>
        <v>Clinique Moisture Surge</v>
      </c>
      <c r="L48" s="6" t="str">
        <f>UPPER(Table1[[#This Row],[Trimmed words]])</f>
        <v>CLINIQUE MOISTURE SURGE</v>
      </c>
      <c r="M48" s="26" t="str">
        <f>LOWER(Table1[[#This Row],[Upper function]])</f>
        <v>clinique moisture surge</v>
      </c>
      <c r="N48" s="26" t="str">
        <f t="shared" si="0"/>
        <v>Bea</v>
      </c>
      <c r="O48" s="26" t="str">
        <f t="shared" si="1"/>
        <v>uty Prod</v>
      </c>
      <c r="P48" s="27" t="str">
        <f t="shared" si="2"/>
        <v>roducts</v>
      </c>
      <c r="Q48" s="27" t="str">
        <f t="shared" si="3"/>
        <v>Beworduty Products</v>
      </c>
      <c r="R48" s="27" t="str">
        <f t="shared" si="4"/>
        <v>positionauty Products</v>
      </c>
      <c r="S48" s="27" t="str">
        <f t="shared" si="5"/>
        <v>10047-Beauty Products-(Asia)</v>
      </c>
      <c r="T48" s="27"/>
    </row>
    <row r="49" spans="1:20" x14ac:dyDescent="0.35">
      <c r="A49" s="4">
        <v>10048</v>
      </c>
      <c r="B49" s="5">
        <v>45339</v>
      </c>
      <c r="C49" s="6" t="s">
        <v>25</v>
      </c>
      <c r="D49" s="6" t="s">
        <v>68</v>
      </c>
      <c r="E49" s="6">
        <v>6</v>
      </c>
      <c r="F49" s="6">
        <v>39.99</v>
      </c>
      <c r="G49" s="6">
        <v>239.94</v>
      </c>
      <c r="H49" s="6" t="s">
        <v>19</v>
      </c>
      <c r="I49" s="7" t="s">
        <v>12</v>
      </c>
      <c r="J49" s="22">
        <f>(Table1[[#This Row],[Total Revenue]] * 0.18) + Table1[[#This Row],[Total Revenue]]</f>
        <v>283.12919999999997</v>
      </c>
      <c r="K49" s="6" t="str">
        <f>TRIM(Table1[[#This Row],[Product Name]])</f>
        <v>Yeti Rambler Tumbler</v>
      </c>
      <c r="L49" s="6" t="str">
        <f>UPPER(Table1[[#This Row],[Trimmed words]])</f>
        <v>YETI RAMBLER TUMBLER</v>
      </c>
      <c r="M49" s="26" t="str">
        <f>LOWER(Table1[[#This Row],[Upper function]])</f>
        <v>yeti rambler tumbler</v>
      </c>
      <c r="N49" s="26" t="str">
        <f t="shared" si="0"/>
        <v>Spo</v>
      </c>
      <c r="O49" s="26" t="str">
        <f t="shared" si="1"/>
        <v>rts</v>
      </c>
      <c r="P49" s="27" t="str">
        <f t="shared" si="2"/>
        <v>Sports</v>
      </c>
      <c r="Q49" s="27" t="str">
        <f t="shared" si="3"/>
        <v>Sports</v>
      </c>
      <c r="R49" s="27" t="str">
        <f t="shared" si="4"/>
        <v>positionorts</v>
      </c>
      <c r="S49" s="27" t="str">
        <f t="shared" si="5"/>
        <v>10048-Sports-(North America)</v>
      </c>
      <c r="T49" s="27"/>
    </row>
    <row r="50" spans="1:20" x14ac:dyDescent="0.35">
      <c r="A50" s="4">
        <v>10049</v>
      </c>
      <c r="B50" s="5">
        <v>45340</v>
      </c>
      <c r="C50" s="6" t="s">
        <v>9</v>
      </c>
      <c r="D50" s="6" t="s">
        <v>69</v>
      </c>
      <c r="E50" s="6">
        <v>2</v>
      </c>
      <c r="F50" s="6">
        <v>129.99</v>
      </c>
      <c r="G50" s="6">
        <v>259.98</v>
      </c>
      <c r="H50" s="6" t="s">
        <v>11</v>
      </c>
      <c r="I50" s="7" t="s">
        <v>12</v>
      </c>
      <c r="J50" s="22">
        <f>(Table1[[#This Row],[Total Revenue]] * 0.18) + Table1[[#This Row],[Total Revenue]]</f>
        <v>306.77640000000002</v>
      </c>
      <c r="K50" s="6" t="str">
        <f>TRIM(Table1[[#This Row],[Product Name]])</f>
        <v>Kindle Paperwhite</v>
      </c>
      <c r="L50" s="6" t="str">
        <f>UPPER(Table1[[#This Row],[Trimmed words]])</f>
        <v>KINDLE PAPERWHITE</v>
      </c>
      <c r="M50" s="26" t="str">
        <f>LOWER(Table1[[#This Row],[Upper function]])</f>
        <v>kindle paperwhite</v>
      </c>
      <c r="N50" s="26" t="str">
        <f t="shared" si="0"/>
        <v>Ele</v>
      </c>
      <c r="O50" s="26" t="str">
        <f t="shared" si="1"/>
        <v>ctronics</v>
      </c>
      <c r="P50" s="27" t="str">
        <f t="shared" si="2"/>
        <v>tronics</v>
      </c>
      <c r="Q50" s="27" t="str">
        <f t="shared" si="3"/>
        <v>Electronics</v>
      </c>
      <c r="R50" s="27" t="str">
        <f t="shared" si="4"/>
        <v>positionectronics</v>
      </c>
      <c r="S50" s="27" t="str">
        <f t="shared" si="5"/>
        <v>10049-Electronics-(Europe)</v>
      </c>
      <c r="T50" s="27"/>
    </row>
    <row r="51" spans="1:20" x14ac:dyDescent="0.35">
      <c r="A51" s="4">
        <v>10050</v>
      </c>
      <c r="B51" s="5">
        <v>45341</v>
      </c>
      <c r="C51" s="6" t="s">
        <v>13</v>
      </c>
      <c r="D51" s="6" t="s">
        <v>70</v>
      </c>
      <c r="E51" s="6">
        <v>1</v>
      </c>
      <c r="F51" s="6">
        <v>299.99</v>
      </c>
      <c r="G51" s="6">
        <v>299.99</v>
      </c>
      <c r="H51" s="6" t="s">
        <v>15</v>
      </c>
      <c r="I51" s="7" t="s">
        <v>16</v>
      </c>
      <c r="J51" s="22">
        <f>(Table1[[#This Row],[Total Revenue]] * 0.18) + Table1[[#This Row],[Total Revenue]]</f>
        <v>353.98820000000001</v>
      </c>
      <c r="K51" s="6" t="str">
        <f>TRIM(Table1[[#This Row],[Product Name]])</f>
        <v>Breville Smart Oven</v>
      </c>
      <c r="L51" s="6" t="str">
        <f>UPPER(Table1[[#This Row],[Trimmed words]])</f>
        <v>BREVILLE SMART OVEN</v>
      </c>
      <c r="M51" s="26" t="str">
        <f>LOWER(Table1[[#This Row],[Upper function]])</f>
        <v>breville smart oven</v>
      </c>
      <c r="N51" s="26" t="str">
        <f t="shared" si="0"/>
        <v>Hom</v>
      </c>
      <c r="O51" s="26" t="str">
        <f t="shared" si="1"/>
        <v>e Applia</v>
      </c>
      <c r="P51" s="27" t="str">
        <f t="shared" si="2"/>
        <v>liances</v>
      </c>
      <c r="Q51" s="27" t="str">
        <f t="shared" si="3"/>
        <v>Home Appliwordnces</v>
      </c>
      <c r="R51" s="27" t="str">
        <f t="shared" si="4"/>
        <v>positionme Appliances</v>
      </c>
      <c r="S51" s="27" t="str">
        <f t="shared" si="5"/>
        <v>10050-Home Appliances-(Asia)</v>
      </c>
      <c r="T51" s="27"/>
    </row>
    <row r="52" spans="1:20" x14ac:dyDescent="0.35">
      <c r="A52" s="4">
        <v>10051</v>
      </c>
      <c r="B52" s="5">
        <v>45342</v>
      </c>
      <c r="C52" s="6" t="s">
        <v>17</v>
      </c>
      <c r="D52" s="6" t="s">
        <v>71</v>
      </c>
      <c r="E52" s="6">
        <v>3</v>
      </c>
      <c r="F52" s="6">
        <v>154.99</v>
      </c>
      <c r="G52" s="6">
        <v>464.97</v>
      </c>
      <c r="H52" s="6" t="s">
        <v>19</v>
      </c>
      <c r="I52" s="7" t="s">
        <v>20</v>
      </c>
      <c r="J52" s="22">
        <f>(Table1[[#This Row],[Total Revenue]] * 0.18) + Table1[[#This Row],[Total Revenue]]</f>
        <v>548.66460000000006</v>
      </c>
      <c r="K52" s="6" t="str">
        <f>TRIM(Table1[[#This Row],[Product Name]])</f>
        <v>Ray-Ban Aviator Sunglasses</v>
      </c>
      <c r="L52" s="6" t="str">
        <f>UPPER(Table1[[#This Row],[Trimmed words]])</f>
        <v>RAY-BAN AVIATOR SUNGLASSES</v>
      </c>
      <c r="M52" s="26" t="str">
        <f>LOWER(Table1[[#This Row],[Upper function]])</f>
        <v>ray-ban aviator sunglasses</v>
      </c>
      <c r="N52" s="26" t="str">
        <f t="shared" si="0"/>
        <v>Clo</v>
      </c>
      <c r="O52" s="26" t="str">
        <f t="shared" si="1"/>
        <v>thing</v>
      </c>
      <c r="P52" s="27" t="str">
        <f t="shared" si="2"/>
        <v>lothing</v>
      </c>
      <c r="Q52" s="27" t="str">
        <f t="shared" si="3"/>
        <v>Clothing</v>
      </c>
      <c r="R52" s="27" t="str">
        <f t="shared" si="4"/>
        <v>positionothing</v>
      </c>
      <c r="S52" s="27" t="str">
        <f t="shared" si="5"/>
        <v>10051-Clothing-(North America)</v>
      </c>
      <c r="T52" s="27"/>
    </row>
    <row r="53" spans="1:20" x14ac:dyDescent="0.35">
      <c r="A53" s="4">
        <v>10052</v>
      </c>
      <c r="B53" s="5">
        <v>45343</v>
      </c>
      <c r="C53" s="6" t="s">
        <v>21</v>
      </c>
      <c r="D53" s="6" t="s">
        <v>72</v>
      </c>
      <c r="E53" s="6">
        <v>2</v>
      </c>
      <c r="F53" s="6">
        <v>26.99</v>
      </c>
      <c r="G53" s="6">
        <v>53.98</v>
      </c>
      <c r="H53" s="6" t="s">
        <v>11</v>
      </c>
      <c r="I53" s="7" t="s">
        <v>12</v>
      </c>
      <c r="J53" s="22">
        <f>(Table1[[#This Row],[Total Revenue]] * 0.18) + Table1[[#This Row],[Total Revenue]]</f>
        <v>63.696399999999997</v>
      </c>
      <c r="K53" s="6" t="str">
        <f>TRIM(Table1[[#This Row],[Product Name]])</f>
        <v>The Silent Patient by Alex Michaelides</v>
      </c>
      <c r="L53" s="6" t="str">
        <f>UPPER(Table1[[#This Row],[Trimmed words]])</f>
        <v>THE SILENT PATIENT BY ALEX MICHAELIDES</v>
      </c>
      <c r="M53" s="26" t="str">
        <f>LOWER(Table1[[#This Row],[Upper function]])</f>
        <v>the silent patient by alex michaelides</v>
      </c>
      <c r="N53" s="26" t="str">
        <f t="shared" si="0"/>
        <v>Boo</v>
      </c>
      <c r="O53" s="26" t="str">
        <f t="shared" si="1"/>
        <v>ks</v>
      </c>
      <c r="P53" s="27" t="str">
        <f t="shared" si="2"/>
        <v>Books</v>
      </c>
      <c r="Q53" s="27" t="str">
        <f t="shared" si="3"/>
        <v>Books</v>
      </c>
      <c r="R53" s="27" t="str">
        <f t="shared" si="4"/>
        <v>positionoks</v>
      </c>
      <c r="S53" s="27" t="str">
        <f t="shared" si="5"/>
        <v>10052-Books-(Europe)</v>
      </c>
      <c r="T53" s="27"/>
    </row>
    <row r="54" spans="1:20" x14ac:dyDescent="0.35">
      <c r="A54" s="4">
        <v>10053</v>
      </c>
      <c r="B54" s="5">
        <v>45344</v>
      </c>
      <c r="C54" s="6" t="s">
        <v>23</v>
      </c>
      <c r="D54" s="6" t="s">
        <v>73</v>
      </c>
      <c r="E54" s="6">
        <v>1</v>
      </c>
      <c r="F54" s="6">
        <v>49</v>
      </c>
      <c r="G54" s="6">
        <v>49</v>
      </c>
      <c r="H54" s="6" t="s">
        <v>15</v>
      </c>
      <c r="I54" s="7" t="s">
        <v>16</v>
      </c>
      <c r="J54" s="22">
        <f>(Table1[[#This Row],[Total Revenue]] * 0.18) + Table1[[#This Row],[Total Revenue]]</f>
        <v>57.82</v>
      </c>
      <c r="K54" s="6" t="str">
        <f>TRIM(Table1[[#This Row],[Product Name]])</f>
        <v>Shiseido Ultimate Sun Protector</v>
      </c>
      <c r="L54" s="6" t="str">
        <f>UPPER(Table1[[#This Row],[Trimmed words]])</f>
        <v>SHISEIDO ULTIMATE SUN PROTECTOR</v>
      </c>
      <c r="M54" s="26" t="str">
        <f>LOWER(Table1[[#This Row],[Upper function]])</f>
        <v>shiseido ultimate sun protector</v>
      </c>
      <c r="N54" s="26" t="str">
        <f t="shared" si="0"/>
        <v>Bea</v>
      </c>
      <c r="O54" s="26" t="str">
        <f t="shared" si="1"/>
        <v>uty Prod</v>
      </c>
      <c r="P54" s="27" t="str">
        <f t="shared" si="2"/>
        <v>roducts</v>
      </c>
      <c r="Q54" s="27" t="str">
        <f t="shared" si="3"/>
        <v>Beworduty Products</v>
      </c>
      <c r="R54" s="27" t="str">
        <f t="shared" si="4"/>
        <v>positionauty Products</v>
      </c>
      <c r="S54" s="27" t="str">
        <f t="shared" si="5"/>
        <v>10053-Beauty Products-(Asia)</v>
      </c>
      <c r="T54" s="27"/>
    </row>
    <row r="55" spans="1:20" x14ac:dyDescent="0.35">
      <c r="A55" s="4">
        <v>10054</v>
      </c>
      <c r="B55" s="5">
        <v>45345</v>
      </c>
      <c r="C55" s="6" t="s">
        <v>25</v>
      </c>
      <c r="D55" s="6" t="s">
        <v>74</v>
      </c>
      <c r="E55" s="6">
        <v>5</v>
      </c>
      <c r="F55" s="6">
        <v>49.99</v>
      </c>
      <c r="G55" s="6">
        <v>249.95</v>
      </c>
      <c r="H55" s="6" t="s">
        <v>19</v>
      </c>
      <c r="I55" s="7" t="s">
        <v>12</v>
      </c>
      <c r="J55" s="22">
        <f>(Table1[[#This Row],[Total Revenue]] * 0.18) + Table1[[#This Row],[Total Revenue]]</f>
        <v>294.94099999999997</v>
      </c>
      <c r="K55" s="6" t="str">
        <f>TRIM(Table1[[#This Row],[Product Name]])</f>
        <v>Titleist Pro V1 Golf Balls</v>
      </c>
      <c r="L55" s="6" t="str">
        <f>UPPER(Table1[[#This Row],[Trimmed words]])</f>
        <v>TITLEIST PRO V1 GOLF BALLS</v>
      </c>
      <c r="M55" s="26" t="str">
        <f>LOWER(Table1[[#This Row],[Upper function]])</f>
        <v>titleist pro v1 golf balls</v>
      </c>
      <c r="N55" s="26" t="str">
        <f t="shared" si="0"/>
        <v>Spo</v>
      </c>
      <c r="O55" s="26" t="str">
        <f t="shared" si="1"/>
        <v>rts</v>
      </c>
      <c r="P55" s="27" t="str">
        <f t="shared" si="2"/>
        <v>Sports</v>
      </c>
      <c r="Q55" s="27" t="str">
        <f t="shared" si="3"/>
        <v>Sports</v>
      </c>
      <c r="R55" s="27" t="str">
        <f t="shared" si="4"/>
        <v>positionorts</v>
      </c>
      <c r="S55" s="27" t="str">
        <f t="shared" si="5"/>
        <v>10054-Sports-(North America)</v>
      </c>
      <c r="T55" s="27"/>
    </row>
    <row r="56" spans="1:20" x14ac:dyDescent="0.35">
      <c r="A56" s="4">
        <v>10055</v>
      </c>
      <c r="B56" s="5">
        <v>45346</v>
      </c>
      <c r="C56" s="6" t="s">
        <v>9</v>
      </c>
      <c r="D56" s="6" t="s">
        <v>75</v>
      </c>
      <c r="E56" s="6">
        <v>4</v>
      </c>
      <c r="F56" s="6">
        <v>59.99</v>
      </c>
      <c r="G56" s="6">
        <v>239.96</v>
      </c>
      <c r="H56" s="6" t="s">
        <v>11</v>
      </c>
      <c r="I56" s="7" t="s">
        <v>12</v>
      </c>
      <c r="J56" s="22">
        <f>(Table1[[#This Row],[Total Revenue]] * 0.18) + Table1[[#This Row],[Total Revenue]]</f>
        <v>283.15280000000001</v>
      </c>
      <c r="K56" s="6" t="str">
        <f>TRIM(Table1[[#This Row],[Product Name]])</f>
        <v>Anker PowerCore Portable Charger</v>
      </c>
      <c r="L56" s="6" t="str">
        <f>UPPER(Table1[[#This Row],[Trimmed words]])</f>
        <v>ANKER POWERCORE PORTABLE CHARGER</v>
      </c>
      <c r="M56" s="26" t="str">
        <f>LOWER(Table1[[#This Row],[Upper function]])</f>
        <v>anker powercore portable charger</v>
      </c>
      <c r="N56" s="26" t="str">
        <f t="shared" si="0"/>
        <v>Ele</v>
      </c>
      <c r="O56" s="26" t="str">
        <f t="shared" si="1"/>
        <v>ctronics</v>
      </c>
      <c r="P56" s="27" t="str">
        <f t="shared" si="2"/>
        <v>tronics</v>
      </c>
      <c r="Q56" s="27" t="str">
        <f t="shared" si="3"/>
        <v>Electronics</v>
      </c>
      <c r="R56" s="27" t="str">
        <f t="shared" si="4"/>
        <v>positionectronics</v>
      </c>
      <c r="S56" s="27" t="str">
        <f t="shared" si="5"/>
        <v>10055-Electronics-(Europe)</v>
      </c>
      <c r="T56" s="27"/>
    </row>
    <row r="57" spans="1:20" x14ac:dyDescent="0.35">
      <c r="A57" s="4">
        <v>10056</v>
      </c>
      <c r="B57" s="5">
        <v>45347</v>
      </c>
      <c r="C57" s="6" t="s">
        <v>13</v>
      </c>
      <c r="D57" s="6" t="s">
        <v>76</v>
      </c>
      <c r="E57" s="6">
        <v>1</v>
      </c>
      <c r="F57" s="6">
        <v>499.99</v>
      </c>
      <c r="G57" s="6">
        <v>499.99</v>
      </c>
      <c r="H57" s="6" t="s">
        <v>15</v>
      </c>
      <c r="I57" s="7" t="s">
        <v>16</v>
      </c>
      <c r="J57" s="22">
        <f>(Table1[[#This Row],[Total Revenue]] * 0.18) + Table1[[#This Row],[Total Revenue]]</f>
        <v>589.98820000000001</v>
      </c>
      <c r="K57" s="6" t="str">
        <f>TRIM(Table1[[#This Row],[Product Name]])</f>
        <v>KitchenAid Artisan Stand Mixer</v>
      </c>
      <c r="L57" s="6" t="str">
        <f>UPPER(Table1[[#This Row],[Trimmed words]])</f>
        <v>KITCHENAID ARTISAN STAND MIXER</v>
      </c>
      <c r="M57" s="26" t="str">
        <f>LOWER(Table1[[#This Row],[Upper function]])</f>
        <v>kitchenaid artisan stand mixer</v>
      </c>
      <c r="N57" s="26" t="str">
        <f t="shared" si="0"/>
        <v>Hom</v>
      </c>
      <c r="O57" s="26" t="str">
        <f t="shared" si="1"/>
        <v>e Applia</v>
      </c>
      <c r="P57" s="27" t="str">
        <f t="shared" si="2"/>
        <v>liances</v>
      </c>
      <c r="Q57" s="27" t="str">
        <f t="shared" si="3"/>
        <v>Home Appliwordnces</v>
      </c>
      <c r="R57" s="27" t="str">
        <f t="shared" si="4"/>
        <v>positionme Appliances</v>
      </c>
      <c r="S57" s="27" t="str">
        <f t="shared" si="5"/>
        <v>10056-Home Appliances-(Asia)</v>
      </c>
      <c r="T57" s="27"/>
    </row>
    <row r="58" spans="1:20" x14ac:dyDescent="0.35">
      <c r="A58" s="4">
        <v>10057</v>
      </c>
      <c r="B58" s="5">
        <v>45348</v>
      </c>
      <c r="C58" s="6" t="s">
        <v>17</v>
      </c>
      <c r="D58" s="6" t="s">
        <v>77</v>
      </c>
      <c r="E58" s="6">
        <v>5</v>
      </c>
      <c r="F58" s="6">
        <v>29.99</v>
      </c>
      <c r="G58" s="6">
        <v>149.94999999999999</v>
      </c>
      <c r="H58" s="6" t="s">
        <v>19</v>
      </c>
      <c r="I58" s="7" t="s">
        <v>20</v>
      </c>
      <c r="J58" s="22">
        <f>(Table1[[#This Row],[Total Revenue]] * 0.18) + Table1[[#This Row],[Total Revenue]]</f>
        <v>176.94099999999997</v>
      </c>
      <c r="K58" s="6" t="str">
        <f>TRIM(Table1[[#This Row],[Product Name]])</f>
        <v>Calvin Klein Boxer Briefs</v>
      </c>
      <c r="L58" s="6" t="str">
        <f>UPPER(Table1[[#This Row],[Trimmed words]])</f>
        <v>CALVIN KLEIN BOXER BRIEFS</v>
      </c>
      <c r="M58" s="26" t="str">
        <f>LOWER(Table1[[#This Row],[Upper function]])</f>
        <v>calvin klein boxer briefs</v>
      </c>
      <c r="N58" s="26" t="str">
        <f t="shared" si="0"/>
        <v>Clo</v>
      </c>
      <c r="O58" s="26" t="str">
        <f t="shared" si="1"/>
        <v>thing</v>
      </c>
      <c r="P58" s="27" t="str">
        <f t="shared" si="2"/>
        <v>lothing</v>
      </c>
      <c r="Q58" s="27" t="str">
        <f t="shared" si="3"/>
        <v>Clothing</v>
      </c>
      <c r="R58" s="27" t="str">
        <f t="shared" si="4"/>
        <v>positionothing</v>
      </c>
      <c r="S58" s="27" t="str">
        <f t="shared" si="5"/>
        <v>10057-Clothing-(North America)</v>
      </c>
      <c r="T58" s="27"/>
    </row>
    <row r="59" spans="1:20" x14ac:dyDescent="0.35">
      <c r="A59" s="4">
        <v>10058</v>
      </c>
      <c r="B59" s="5">
        <v>45349</v>
      </c>
      <c r="C59" s="6" t="s">
        <v>21</v>
      </c>
      <c r="D59" s="6" t="s">
        <v>78</v>
      </c>
      <c r="E59" s="6">
        <v>3</v>
      </c>
      <c r="F59" s="6">
        <v>28</v>
      </c>
      <c r="G59" s="6">
        <v>84</v>
      </c>
      <c r="H59" s="6" t="s">
        <v>11</v>
      </c>
      <c r="I59" s="7" t="s">
        <v>12</v>
      </c>
      <c r="J59" s="22">
        <f>(Table1[[#This Row],[Total Revenue]] * 0.18) + Table1[[#This Row],[Total Revenue]]</f>
        <v>99.12</v>
      </c>
      <c r="K59" s="6" t="str">
        <f>TRIM(Table1[[#This Row],[Product Name]])</f>
        <v>Educated by Tara Westover</v>
      </c>
      <c r="L59" s="6" t="str">
        <f>UPPER(Table1[[#This Row],[Trimmed words]])</f>
        <v>EDUCATED BY TARA WESTOVER</v>
      </c>
      <c r="M59" s="26" t="str">
        <f>LOWER(Table1[[#This Row],[Upper function]])</f>
        <v>educated by tara westover</v>
      </c>
      <c r="N59" s="26" t="str">
        <f t="shared" si="0"/>
        <v>Boo</v>
      </c>
      <c r="O59" s="26" t="str">
        <f t="shared" si="1"/>
        <v>ks</v>
      </c>
      <c r="P59" s="27" t="str">
        <f t="shared" si="2"/>
        <v>Books</v>
      </c>
      <c r="Q59" s="27" t="str">
        <f t="shared" si="3"/>
        <v>Books</v>
      </c>
      <c r="R59" s="27" t="str">
        <f t="shared" si="4"/>
        <v>positionoks</v>
      </c>
      <c r="S59" s="27" t="str">
        <f t="shared" si="5"/>
        <v>10058-Books-(Europe)</v>
      </c>
      <c r="T59" s="27"/>
    </row>
    <row r="60" spans="1:20" x14ac:dyDescent="0.35">
      <c r="A60" s="4">
        <v>10059</v>
      </c>
      <c r="B60" s="5">
        <v>45350</v>
      </c>
      <c r="C60" s="6" t="s">
        <v>23</v>
      </c>
      <c r="D60" s="6" t="s">
        <v>79</v>
      </c>
      <c r="E60" s="6">
        <v>2</v>
      </c>
      <c r="F60" s="6">
        <v>23</v>
      </c>
      <c r="G60" s="6">
        <v>46</v>
      </c>
      <c r="H60" s="6" t="s">
        <v>15</v>
      </c>
      <c r="I60" s="7" t="s">
        <v>16</v>
      </c>
      <c r="J60" s="22">
        <f>(Table1[[#This Row],[Total Revenue]] * 0.18) + Table1[[#This Row],[Total Revenue]]</f>
        <v>54.28</v>
      </c>
      <c r="K60" s="6" t="str">
        <f>TRIM(Table1[[#This Row],[Product Name]])</f>
        <v>Anastasia Beverly Hills Brow Wiz</v>
      </c>
      <c r="L60" s="6" t="str">
        <f>UPPER(Table1[[#This Row],[Trimmed words]])</f>
        <v>ANASTASIA BEVERLY HILLS BROW WIZ</v>
      </c>
      <c r="M60" s="26" t="str">
        <f>LOWER(Table1[[#This Row],[Upper function]])</f>
        <v>anastasia beverly hills brow wiz</v>
      </c>
      <c r="N60" s="26" t="str">
        <f t="shared" si="0"/>
        <v>Bea</v>
      </c>
      <c r="O60" s="26" t="str">
        <f t="shared" si="1"/>
        <v>uty Prod</v>
      </c>
      <c r="P60" s="27" t="str">
        <f t="shared" si="2"/>
        <v>roducts</v>
      </c>
      <c r="Q60" s="27" t="str">
        <f t="shared" si="3"/>
        <v>Beworduty Products</v>
      </c>
      <c r="R60" s="27" t="str">
        <f t="shared" si="4"/>
        <v>positionauty Products</v>
      </c>
      <c r="S60" s="27" t="str">
        <f t="shared" si="5"/>
        <v>10059-Beauty Products-(Asia)</v>
      </c>
      <c r="T60" s="27"/>
    </row>
    <row r="61" spans="1:20" x14ac:dyDescent="0.35">
      <c r="A61" s="4">
        <v>10060</v>
      </c>
      <c r="B61" s="5">
        <v>45351</v>
      </c>
      <c r="C61" s="6" t="s">
        <v>25</v>
      </c>
      <c r="D61" s="6" t="s">
        <v>80</v>
      </c>
      <c r="E61" s="6">
        <v>1</v>
      </c>
      <c r="F61" s="6">
        <v>349</v>
      </c>
      <c r="G61" s="6">
        <v>349</v>
      </c>
      <c r="H61" s="6" t="s">
        <v>19</v>
      </c>
      <c r="I61" s="7" t="s">
        <v>12</v>
      </c>
      <c r="J61" s="22">
        <f>(Table1[[#This Row],[Total Revenue]] * 0.18) + Table1[[#This Row],[Total Revenue]]</f>
        <v>411.82</v>
      </c>
      <c r="K61" s="6" t="str">
        <f>TRIM(Table1[[#This Row],[Product Name]])</f>
        <v>Hyperice Hypervolt Massager</v>
      </c>
      <c r="L61" s="6" t="str">
        <f>UPPER(Table1[[#This Row],[Trimmed words]])</f>
        <v>HYPERICE HYPERVOLT MASSAGER</v>
      </c>
      <c r="M61" s="26" t="str">
        <f>LOWER(Table1[[#This Row],[Upper function]])</f>
        <v>hyperice hypervolt massager</v>
      </c>
      <c r="N61" s="26" t="str">
        <f t="shared" si="0"/>
        <v>Spo</v>
      </c>
      <c r="O61" s="26" t="str">
        <f t="shared" si="1"/>
        <v>rts</v>
      </c>
      <c r="P61" s="27" t="str">
        <f t="shared" si="2"/>
        <v>Sports</v>
      </c>
      <c r="Q61" s="27" t="str">
        <f t="shared" si="3"/>
        <v>Sports</v>
      </c>
      <c r="R61" s="27" t="str">
        <f t="shared" si="4"/>
        <v>positionorts</v>
      </c>
      <c r="S61" s="27" t="str">
        <f t="shared" si="5"/>
        <v>10060-Sports-(North America)</v>
      </c>
      <c r="T61" s="27"/>
    </row>
    <row r="62" spans="1:20" x14ac:dyDescent="0.35">
      <c r="A62" s="4">
        <v>10061</v>
      </c>
      <c r="B62" s="5">
        <v>45352</v>
      </c>
      <c r="C62" s="6" t="s">
        <v>9</v>
      </c>
      <c r="D62" s="6" t="s">
        <v>81</v>
      </c>
      <c r="E62" s="6">
        <v>3</v>
      </c>
      <c r="F62" s="6">
        <v>299.99</v>
      </c>
      <c r="G62" s="6">
        <v>899.97</v>
      </c>
      <c r="H62" s="6" t="s">
        <v>11</v>
      </c>
      <c r="I62" s="7" t="s">
        <v>12</v>
      </c>
      <c r="J62" s="22">
        <f>(Table1[[#This Row],[Total Revenue]] * 0.18) + Table1[[#This Row],[Total Revenue]]</f>
        <v>1061.9646</v>
      </c>
      <c r="K62" s="6" t="str">
        <f>TRIM(Table1[[#This Row],[Product Name]])</f>
        <v>Nintendo Switch</v>
      </c>
      <c r="L62" s="6" t="str">
        <f>UPPER(Table1[[#This Row],[Trimmed words]])</f>
        <v>NINTENDO SWITCH</v>
      </c>
      <c r="M62" s="26" t="str">
        <f>LOWER(Table1[[#This Row],[Upper function]])</f>
        <v>nintendo switch</v>
      </c>
      <c r="N62" s="26" t="str">
        <f t="shared" si="0"/>
        <v>Ele</v>
      </c>
      <c r="O62" s="26" t="str">
        <f t="shared" si="1"/>
        <v>ctronics</v>
      </c>
      <c r="P62" s="27" t="str">
        <f t="shared" si="2"/>
        <v>tronics</v>
      </c>
      <c r="Q62" s="27" t="str">
        <f t="shared" si="3"/>
        <v>Electronics</v>
      </c>
      <c r="R62" s="27" t="str">
        <f t="shared" si="4"/>
        <v>positionectronics</v>
      </c>
      <c r="S62" s="27" t="str">
        <f t="shared" si="5"/>
        <v>10061-Electronics-(Europe)</v>
      </c>
      <c r="T62" s="27"/>
    </row>
    <row r="63" spans="1:20" x14ac:dyDescent="0.35">
      <c r="A63" s="4">
        <v>10062</v>
      </c>
      <c r="B63" s="5">
        <v>45353</v>
      </c>
      <c r="C63" s="6" t="s">
        <v>13</v>
      </c>
      <c r="D63" s="6" t="s">
        <v>82</v>
      </c>
      <c r="E63" s="6">
        <v>2</v>
      </c>
      <c r="F63" s="6">
        <v>199.99</v>
      </c>
      <c r="G63" s="6">
        <v>399.98</v>
      </c>
      <c r="H63" s="6" t="s">
        <v>15</v>
      </c>
      <c r="I63" s="7" t="s">
        <v>16</v>
      </c>
      <c r="J63" s="22">
        <f>(Table1[[#This Row],[Total Revenue]] * 0.18) + Table1[[#This Row],[Total Revenue]]</f>
        <v>471.97640000000001</v>
      </c>
      <c r="K63" s="6" t="str">
        <f>TRIM(Table1[[#This Row],[Product Name]])</f>
        <v>Philips Airfryer XXL</v>
      </c>
      <c r="L63" s="6" t="str">
        <f>UPPER(Table1[[#This Row],[Trimmed words]])</f>
        <v>PHILIPS AIRFRYER XXL</v>
      </c>
      <c r="M63" s="26" t="str">
        <f>LOWER(Table1[[#This Row],[Upper function]])</f>
        <v>philips airfryer xxl</v>
      </c>
      <c r="N63" s="26" t="str">
        <f t="shared" si="0"/>
        <v>Hom</v>
      </c>
      <c r="O63" s="26" t="str">
        <f t="shared" si="1"/>
        <v>e Applia</v>
      </c>
      <c r="P63" s="27" t="str">
        <f t="shared" si="2"/>
        <v>liances</v>
      </c>
      <c r="Q63" s="27" t="str">
        <f t="shared" si="3"/>
        <v>Home Appliwordnces</v>
      </c>
      <c r="R63" s="27" t="str">
        <f t="shared" si="4"/>
        <v>positionme Appliances</v>
      </c>
      <c r="S63" s="27" t="str">
        <f t="shared" si="5"/>
        <v>10062-Home Appliances-(Asia)</v>
      </c>
      <c r="T63" s="27"/>
    </row>
    <row r="64" spans="1:20" x14ac:dyDescent="0.35">
      <c r="A64" s="4">
        <v>10063</v>
      </c>
      <c r="B64" s="5">
        <v>45354</v>
      </c>
      <c r="C64" s="6" t="s">
        <v>17</v>
      </c>
      <c r="D64" s="6" t="s">
        <v>83</v>
      </c>
      <c r="E64" s="6">
        <v>10</v>
      </c>
      <c r="F64" s="6">
        <v>9.99</v>
      </c>
      <c r="G64" s="6">
        <v>99.9</v>
      </c>
      <c r="H64" s="6" t="s">
        <v>19</v>
      </c>
      <c r="I64" s="7" t="s">
        <v>20</v>
      </c>
      <c r="J64" s="22">
        <f>(Table1[[#This Row],[Total Revenue]] * 0.18) + Table1[[#This Row],[Total Revenue]]</f>
        <v>117.88200000000001</v>
      </c>
      <c r="K64" s="6" t="str">
        <f>TRIM(Table1[[#This Row],[Product Name]])</f>
        <v>Hanes ComfortSoft T-Shirt</v>
      </c>
      <c r="L64" s="6" t="str">
        <f>UPPER(Table1[[#This Row],[Trimmed words]])</f>
        <v>HANES COMFORTSOFT T-SHIRT</v>
      </c>
      <c r="M64" s="26" t="str">
        <f>LOWER(Table1[[#This Row],[Upper function]])</f>
        <v>hanes comfortsoft t-shirt</v>
      </c>
      <c r="N64" s="26" t="str">
        <f t="shared" si="0"/>
        <v>Clo</v>
      </c>
      <c r="O64" s="26" t="str">
        <f t="shared" si="1"/>
        <v>thing</v>
      </c>
      <c r="P64" s="27" t="str">
        <f t="shared" si="2"/>
        <v>lothing</v>
      </c>
      <c r="Q64" s="27" t="str">
        <f t="shared" si="3"/>
        <v>Clothing</v>
      </c>
      <c r="R64" s="27" t="str">
        <f t="shared" si="4"/>
        <v>positionothing</v>
      </c>
      <c r="S64" s="27" t="str">
        <f t="shared" si="5"/>
        <v>10063-Clothing-(North America)</v>
      </c>
      <c r="T64" s="27"/>
    </row>
    <row r="65" spans="1:20" x14ac:dyDescent="0.35">
      <c r="A65" s="4">
        <v>10064</v>
      </c>
      <c r="B65" s="5">
        <v>45355</v>
      </c>
      <c r="C65" s="6" t="s">
        <v>21</v>
      </c>
      <c r="D65" s="6" t="s">
        <v>84</v>
      </c>
      <c r="E65" s="6">
        <v>4</v>
      </c>
      <c r="F65" s="6">
        <v>18.989999999999998</v>
      </c>
      <c r="G65" s="6">
        <v>75.959999999999994</v>
      </c>
      <c r="H65" s="6" t="s">
        <v>11</v>
      </c>
      <c r="I65" s="7" t="s">
        <v>12</v>
      </c>
      <c r="J65" s="22">
        <f>(Table1[[#This Row],[Total Revenue]] * 0.18) + Table1[[#This Row],[Total Revenue]]</f>
        <v>89.632799999999989</v>
      </c>
      <c r="K65" s="6" t="str">
        <f>TRIM(Table1[[#This Row],[Product Name]])</f>
        <v>Where the Crawdads Sing by Delia Owens</v>
      </c>
      <c r="L65" s="6" t="str">
        <f>UPPER(Table1[[#This Row],[Trimmed words]])</f>
        <v>WHERE THE CRAWDADS SING BY DELIA OWENS</v>
      </c>
      <c r="M65" s="26" t="str">
        <f>LOWER(Table1[[#This Row],[Upper function]])</f>
        <v>where the crawdads sing by delia owens</v>
      </c>
      <c r="N65" s="26" t="str">
        <f t="shared" si="0"/>
        <v>Boo</v>
      </c>
      <c r="O65" s="26" t="str">
        <f t="shared" si="1"/>
        <v>ks</v>
      </c>
      <c r="P65" s="27" t="str">
        <f t="shared" si="2"/>
        <v>Books</v>
      </c>
      <c r="Q65" s="27" t="str">
        <f t="shared" si="3"/>
        <v>Books</v>
      </c>
      <c r="R65" s="27" t="str">
        <f t="shared" si="4"/>
        <v>positionoks</v>
      </c>
      <c r="S65" s="27" t="str">
        <f t="shared" si="5"/>
        <v>10064-Books-(Europe)</v>
      </c>
      <c r="T65" s="27"/>
    </row>
    <row r="66" spans="1:20" x14ac:dyDescent="0.35">
      <c r="A66" s="4">
        <v>10065</v>
      </c>
      <c r="B66" s="5">
        <v>45356</v>
      </c>
      <c r="C66" s="6" t="s">
        <v>23</v>
      </c>
      <c r="D66" s="6" t="s">
        <v>85</v>
      </c>
      <c r="E66" s="6">
        <v>1</v>
      </c>
      <c r="F66" s="6">
        <v>102</v>
      </c>
      <c r="G66" s="6">
        <v>102</v>
      </c>
      <c r="H66" s="6" t="s">
        <v>15</v>
      </c>
      <c r="I66" s="7" t="s">
        <v>16</v>
      </c>
      <c r="J66" s="22">
        <f>(Table1[[#This Row],[Total Revenue]] * 0.18) + Table1[[#This Row],[Total Revenue]]</f>
        <v>120.36</v>
      </c>
      <c r="K66" s="6" t="str">
        <f>TRIM(Table1[[#This Row],[Product Name]])</f>
        <v>Lancome La Vie Est Belle</v>
      </c>
      <c r="L66" s="6" t="str">
        <f>UPPER(Table1[[#This Row],[Trimmed words]])</f>
        <v>LANCOME LA VIE EST BELLE</v>
      </c>
      <c r="M66" s="26" t="str">
        <f>LOWER(Table1[[#This Row],[Upper function]])</f>
        <v>lancome la vie est belle</v>
      </c>
      <c r="N66" s="26" t="str">
        <f t="shared" ref="N66:N129" si="7">LEFT(C66, 3)</f>
        <v>Bea</v>
      </c>
      <c r="O66" s="26" t="str">
        <f t="shared" ref="O66:O129" si="8">MID(C66, 4, 8)</f>
        <v>uty Prod</v>
      </c>
      <c r="P66" s="27" t="str">
        <f t="shared" ref="P66:P129" si="9">RIGHT(C66, 7)</f>
        <v>roducts</v>
      </c>
      <c r="Q66" s="27" t="str">
        <f t="shared" ref="Q66:Q129" si="10">SUBSTITUTE(C66, "a", "word")</f>
        <v>Beworduty Products</v>
      </c>
      <c r="R66" s="27" t="str">
        <f t="shared" ref="R66:R129" si="11">REPLACE(C66, 1, 2, "position")</f>
        <v>positionauty Products</v>
      </c>
      <c r="S66" s="27" t="str">
        <f t="shared" ref="S66:S129" si="12">CONCATENATE(A66, "-", C66, "-", "(", H67, ")")</f>
        <v>10065-Beauty Products-(Asia)</v>
      </c>
      <c r="T66" s="27"/>
    </row>
    <row r="67" spans="1:20" x14ac:dyDescent="0.35">
      <c r="A67" s="4">
        <v>10066</v>
      </c>
      <c r="B67" s="5">
        <v>45357</v>
      </c>
      <c r="C67" s="6" t="s">
        <v>25</v>
      </c>
      <c r="D67" s="6" t="s">
        <v>86</v>
      </c>
      <c r="E67" s="6">
        <v>2</v>
      </c>
      <c r="F67" s="6">
        <v>299.99</v>
      </c>
      <c r="G67" s="6">
        <v>599.98</v>
      </c>
      <c r="H67" s="6" t="s">
        <v>19</v>
      </c>
      <c r="I67" s="7" t="s">
        <v>12</v>
      </c>
      <c r="J67" s="22">
        <f>(Table1[[#This Row],[Total Revenue]] * 0.18) + Table1[[#This Row],[Total Revenue]]</f>
        <v>707.97640000000001</v>
      </c>
      <c r="K67" s="6" t="str">
        <f>TRIM(Table1[[#This Row],[Product Name]])</f>
        <v>Garmin Edge 530</v>
      </c>
      <c r="L67" s="6" t="str">
        <f>UPPER(Table1[[#This Row],[Trimmed words]])</f>
        <v>GARMIN EDGE 530</v>
      </c>
      <c r="M67" s="26" t="str">
        <f>LOWER(Table1[[#This Row],[Upper function]])</f>
        <v>garmin edge 530</v>
      </c>
      <c r="N67" s="26" t="str">
        <f t="shared" si="7"/>
        <v>Spo</v>
      </c>
      <c r="O67" s="26" t="str">
        <f t="shared" si="8"/>
        <v>rts</v>
      </c>
      <c r="P67" s="27" t="str">
        <f t="shared" si="9"/>
        <v>Sports</v>
      </c>
      <c r="Q67" s="27" t="str">
        <f t="shared" si="10"/>
        <v>Sports</v>
      </c>
      <c r="R67" s="27" t="str">
        <f t="shared" si="11"/>
        <v>positionorts</v>
      </c>
      <c r="S67" s="27" t="str">
        <f t="shared" si="12"/>
        <v>10066-Sports-(North America)</v>
      </c>
      <c r="T67" s="27"/>
    </row>
    <row r="68" spans="1:20" x14ac:dyDescent="0.35">
      <c r="A68" s="4">
        <v>10067</v>
      </c>
      <c r="B68" s="5">
        <v>45358</v>
      </c>
      <c r="C68" s="6" t="s">
        <v>9</v>
      </c>
      <c r="D68" s="6" t="s">
        <v>87</v>
      </c>
      <c r="E68" s="6">
        <v>1</v>
      </c>
      <c r="F68" s="6">
        <v>1199.99</v>
      </c>
      <c r="G68" s="6">
        <v>1199.99</v>
      </c>
      <c r="H68" s="6" t="s">
        <v>11</v>
      </c>
      <c r="I68" s="7" t="s">
        <v>12</v>
      </c>
      <c r="J68" s="22">
        <f>(Table1[[#This Row],[Total Revenue]] * 0.18) + Table1[[#This Row],[Total Revenue]]</f>
        <v>1415.9882</v>
      </c>
      <c r="K68" s="6" t="str">
        <f>TRIM(Table1[[#This Row],[Product Name]])</f>
        <v>Samsung QLED 4K TV</v>
      </c>
      <c r="L68" s="6" t="str">
        <f>UPPER(Table1[[#This Row],[Trimmed words]])</f>
        <v>SAMSUNG QLED 4K TV</v>
      </c>
      <c r="M68" s="26" t="str">
        <f>LOWER(Table1[[#This Row],[Upper function]])</f>
        <v>samsung qled 4k tv</v>
      </c>
      <c r="N68" s="26" t="str">
        <f t="shared" si="7"/>
        <v>Ele</v>
      </c>
      <c r="O68" s="26" t="str">
        <f t="shared" si="8"/>
        <v>ctronics</v>
      </c>
      <c r="P68" s="27" t="str">
        <f t="shared" si="9"/>
        <v>tronics</v>
      </c>
      <c r="Q68" s="27" t="str">
        <f t="shared" si="10"/>
        <v>Electronics</v>
      </c>
      <c r="R68" s="27" t="str">
        <f t="shared" si="11"/>
        <v>positionectronics</v>
      </c>
      <c r="S68" s="27" t="str">
        <f t="shared" si="12"/>
        <v>10067-Electronics-(Europe)</v>
      </c>
      <c r="T68" s="27"/>
    </row>
    <row r="69" spans="1:20" x14ac:dyDescent="0.35">
      <c r="A69" s="4">
        <v>10068</v>
      </c>
      <c r="B69" s="5">
        <v>45359</v>
      </c>
      <c r="C69" s="6" t="s">
        <v>13</v>
      </c>
      <c r="D69" s="6" t="s">
        <v>88</v>
      </c>
      <c r="E69" s="6">
        <v>3</v>
      </c>
      <c r="F69" s="6">
        <v>219.99</v>
      </c>
      <c r="G69" s="6">
        <v>659.97</v>
      </c>
      <c r="H69" s="6" t="s">
        <v>15</v>
      </c>
      <c r="I69" s="7" t="s">
        <v>16</v>
      </c>
      <c r="J69" s="22">
        <f>(Table1[[#This Row],[Total Revenue]] * 0.18) + Table1[[#This Row],[Total Revenue]]</f>
        <v>778.76459999999997</v>
      </c>
      <c r="K69" s="6" t="str">
        <f>TRIM(Table1[[#This Row],[Product Name]])</f>
        <v>Eufy RoboVac 11S</v>
      </c>
      <c r="L69" s="6" t="str">
        <f>UPPER(Table1[[#This Row],[Trimmed words]])</f>
        <v>EUFY ROBOVAC 11S</v>
      </c>
      <c r="M69" s="26" t="str">
        <f>LOWER(Table1[[#This Row],[Upper function]])</f>
        <v>eufy robovac 11s</v>
      </c>
      <c r="N69" s="26" t="str">
        <f t="shared" si="7"/>
        <v>Hom</v>
      </c>
      <c r="O69" s="26" t="str">
        <f t="shared" si="8"/>
        <v>e Applia</v>
      </c>
      <c r="P69" s="27" t="str">
        <f t="shared" si="9"/>
        <v>liances</v>
      </c>
      <c r="Q69" s="27" t="str">
        <f t="shared" si="10"/>
        <v>Home Appliwordnces</v>
      </c>
      <c r="R69" s="27" t="str">
        <f t="shared" si="11"/>
        <v>positionme Appliances</v>
      </c>
      <c r="S69" s="27" t="str">
        <f t="shared" si="12"/>
        <v>10068-Home Appliances-(Asia)</v>
      </c>
      <c r="T69" s="27"/>
    </row>
    <row r="70" spans="1:20" x14ac:dyDescent="0.35">
      <c r="A70" s="4">
        <v>10069</v>
      </c>
      <c r="B70" s="5">
        <v>45360</v>
      </c>
      <c r="C70" s="6" t="s">
        <v>17</v>
      </c>
      <c r="D70" s="6" t="s">
        <v>89</v>
      </c>
      <c r="E70" s="6">
        <v>4</v>
      </c>
      <c r="F70" s="6">
        <v>59.99</v>
      </c>
      <c r="G70" s="6">
        <v>239.96</v>
      </c>
      <c r="H70" s="6" t="s">
        <v>19</v>
      </c>
      <c r="I70" s="7" t="s">
        <v>20</v>
      </c>
      <c r="J70" s="22">
        <f>(Table1[[#This Row],[Total Revenue]] * 0.18) + Table1[[#This Row],[Total Revenue]]</f>
        <v>283.15280000000001</v>
      </c>
      <c r="K70" s="6" t="str">
        <f>TRIM(Table1[[#This Row],[Product Name]])</f>
        <v>Puma Suede Classic Sneakers</v>
      </c>
      <c r="L70" s="6" t="str">
        <f>UPPER(Table1[[#This Row],[Trimmed words]])</f>
        <v>PUMA SUEDE CLASSIC SNEAKERS</v>
      </c>
      <c r="M70" s="26" t="str">
        <f>LOWER(Table1[[#This Row],[Upper function]])</f>
        <v>puma suede classic sneakers</v>
      </c>
      <c r="N70" s="26" t="str">
        <f t="shared" si="7"/>
        <v>Clo</v>
      </c>
      <c r="O70" s="26" t="str">
        <f t="shared" si="8"/>
        <v>thing</v>
      </c>
      <c r="P70" s="27" t="str">
        <f t="shared" si="9"/>
        <v>lothing</v>
      </c>
      <c r="Q70" s="27" t="str">
        <f t="shared" si="10"/>
        <v>Clothing</v>
      </c>
      <c r="R70" s="27" t="str">
        <f t="shared" si="11"/>
        <v>positionothing</v>
      </c>
      <c r="S70" s="27" t="str">
        <f t="shared" si="12"/>
        <v>10069-Clothing-(North America)</v>
      </c>
      <c r="T70" s="27"/>
    </row>
    <row r="71" spans="1:20" x14ac:dyDescent="0.35">
      <c r="A71" s="4">
        <v>10070</v>
      </c>
      <c r="B71" s="5">
        <v>45361</v>
      </c>
      <c r="C71" s="6" t="s">
        <v>21</v>
      </c>
      <c r="D71" s="6" t="s">
        <v>90</v>
      </c>
      <c r="E71" s="6">
        <v>2</v>
      </c>
      <c r="F71" s="6">
        <v>10.99</v>
      </c>
      <c r="G71" s="6">
        <v>21.98</v>
      </c>
      <c r="H71" s="6" t="s">
        <v>11</v>
      </c>
      <c r="I71" s="7" t="s">
        <v>12</v>
      </c>
      <c r="J71" s="22">
        <f>(Table1[[#This Row],[Total Revenue]] * 0.18) + Table1[[#This Row],[Total Revenue]]</f>
        <v>25.936399999999999</v>
      </c>
      <c r="K71" s="6" t="str">
        <f>TRIM(Table1[[#This Row],[Product Name]])</f>
        <v>The Great Gatsby by F. Scott Fitzgerald</v>
      </c>
      <c r="L71" s="6" t="str">
        <f>UPPER(Table1[[#This Row],[Trimmed words]])</f>
        <v>THE GREAT GATSBY BY F. SCOTT FITZGERALD</v>
      </c>
      <c r="M71" s="26" t="str">
        <f>LOWER(Table1[[#This Row],[Upper function]])</f>
        <v>the great gatsby by f. scott fitzgerald</v>
      </c>
      <c r="N71" s="26" t="str">
        <f t="shared" si="7"/>
        <v>Boo</v>
      </c>
      <c r="O71" s="26" t="str">
        <f t="shared" si="8"/>
        <v>ks</v>
      </c>
      <c r="P71" s="27" t="str">
        <f t="shared" si="9"/>
        <v>Books</v>
      </c>
      <c r="Q71" s="27" t="str">
        <f t="shared" si="10"/>
        <v>Books</v>
      </c>
      <c r="R71" s="27" t="str">
        <f t="shared" si="11"/>
        <v>positionoks</v>
      </c>
      <c r="S71" s="27" t="str">
        <f t="shared" si="12"/>
        <v>10070-Books-(Europe)</v>
      </c>
      <c r="T71" s="27"/>
    </row>
    <row r="72" spans="1:20" x14ac:dyDescent="0.35">
      <c r="A72" s="4">
        <v>10071</v>
      </c>
      <c r="B72" s="5">
        <v>45362</v>
      </c>
      <c r="C72" s="6" t="s">
        <v>23</v>
      </c>
      <c r="D72" s="6" t="s">
        <v>91</v>
      </c>
      <c r="E72" s="6">
        <v>1</v>
      </c>
      <c r="F72" s="6">
        <v>78</v>
      </c>
      <c r="G72" s="6">
        <v>78</v>
      </c>
      <c r="H72" s="6" t="s">
        <v>15</v>
      </c>
      <c r="I72" s="7" t="s">
        <v>16</v>
      </c>
      <c r="J72" s="22">
        <f>(Table1[[#This Row],[Total Revenue]] * 0.18) + Table1[[#This Row],[Total Revenue]]</f>
        <v>92.039999999999992</v>
      </c>
      <c r="K72" s="6" t="str">
        <f>TRIM(Table1[[#This Row],[Product Name]])</f>
        <v>Drunk Elephant C-Firma Day Serum</v>
      </c>
      <c r="L72" s="6" t="str">
        <f>UPPER(Table1[[#This Row],[Trimmed words]])</f>
        <v>DRUNK ELEPHANT C-FIRMA DAY SERUM</v>
      </c>
      <c r="M72" s="26" t="str">
        <f>LOWER(Table1[[#This Row],[Upper function]])</f>
        <v>drunk elephant c-firma day serum</v>
      </c>
      <c r="N72" s="26" t="str">
        <f t="shared" si="7"/>
        <v>Bea</v>
      </c>
      <c r="O72" s="26" t="str">
        <f t="shared" si="8"/>
        <v>uty Prod</v>
      </c>
      <c r="P72" s="27" t="str">
        <f t="shared" si="9"/>
        <v>roducts</v>
      </c>
      <c r="Q72" s="27" t="str">
        <f t="shared" si="10"/>
        <v>Beworduty Products</v>
      </c>
      <c r="R72" s="27" t="str">
        <f t="shared" si="11"/>
        <v>positionauty Products</v>
      </c>
      <c r="S72" s="27" t="str">
        <f t="shared" si="12"/>
        <v>10071-Beauty Products-(Asia)</v>
      </c>
      <c r="T72" s="27"/>
    </row>
    <row r="73" spans="1:20" x14ac:dyDescent="0.35">
      <c r="A73" s="4">
        <v>10072</v>
      </c>
      <c r="B73" s="5">
        <v>45363</v>
      </c>
      <c r="C73" s="6" t="s">
        <v>25</v>
      </c>
      <c r="D73" s="6" t="s">
        <v>92</v>
      </c>
      <c r="E73" s="6">
        <v>3</v>
      </c>
      <c r="F73" s="6">
        <v>129.99</v>
      </c>
      <c r="G73" s="6">
        <v>389.97</v>
      </c>
      <c r="H73" s="6" t="s">
        <v>19</v>
      </c>
      <c r="I73" s="7" t="s">
        <v>12</v>
      </c>
      <c r="J73" s="22">
        <f>(Table1[[#This Row],[Total Revenue]] * 0.18) + Table1[[#This Row],[Total Revenue]]</f>
        <v>460.16460000000006</v>
      </c>
      <c r="K73" s="6" t="str">
        <f>TRIM(Table1[[#This Row],[Product Name]])</f>
        <v>Nike Metcon 6</v>
      </c>
      <c r="L73" s="6" t="str">
        <f>UPPER(Table1[[#This Row],[Trimmed words]])</f>
        <v>NIKE METCON 6</v>
      </c>
      <c r="M73" s="26" t="str">
        <f>LOWER(Table1[[#This Row],[Upper function]])</f>
        <v>nike metcon 6</v>
      </c>
      <c r="N73" s="26" t="str">
        <f t="shared" si="7"/>
        <v>Spo</v>
      </c>
      <c r="O73" s="26" t="str">
        <f t="shared" si="8"/>
        <v>rts</v>
      </c>
      <c r="P73" s="27" t="str">
        <f t="shared" si="9"/>
        <v>Sports</v>
      </c>
      <c r="Q73" s="27" t="str">
        <f t="shared" si="10"/>
        <v>Sports</v>
      </c>
      <c r="R73" s="27" t="str">
        <f t="shared" si="11"/>
        <v>positionorts</v>
      </c>
      <c r="S73" s="27" t="str">
        <f t="shared" si="12"/>
        <v>10072-Sports-(North America)</v>
      </c>
      <c r="T73" s="27"/>
    </row>
    <row r="74" spans="1:20" x14ac:dyDescent="0.35">
      <c r="A74" s="4">
        <v>10073</v>
      </c>
      <c r="B74" s="5">
        <v>45364</v>
      </c>
      <c r="C74" s="6" t="s">
        <v>9</v>
      </c>
      <c r="D74" s="6" t="s">
        <v>93</v>
      </c>
      <c r="E74" s="6">
        <v>1</v>
      </c>
      <c r="F74" s="6">
        <v>1599.99</v>
      </c>
      <c r="G74" s="6">
        <v>1599.99</v>
      </c>
      <c r="H74" s="6" t="s">
        <v>11</v>
      </c>
      <c r="I74" s="7" t="s">
        <v>12</v>
      </c>
      <c r="J74" s="22">
        <f>(Table1[[#This Row],[Total Revenue]] * 0.18) + Table1[[#This Row],[Total Revenue]]</f>
        <v>1887.9882</v>
      </c>
      <c r="K74" s="6" t="str">
        <f>TRIM(Table1[[#This Row],[Product Name]])</f>
        <v>HP Spectre x360 Laptop</v>
      </c>
      <c r="L74" s="6" t="str">
        <f>UPPER(Table1[[#This Row],[Trimmed words]])</f>
        <v>HP SPECTRE X360 LAPTOP</v>
      </c>
      <c r="M74" s="26" t="str">
        <f>LOWER(Table1[[#This Row],[Upper function]])</f>
        <v>hp spectre x360 laptop</v>
      </c>
      <c r="N74" s="26" t="str">
        <f t="shared" si="7"/>
        <v>Ele</v>
      </c>
      <c r="O74" s="26" t="str">
        <f t="shared" si="8"/>
        <v>ctronics</v>
      </c>
      <c r="P74" s="27" t="str">
        <f t="shared" si="9"/>
        <v>tronics</v>
      </c>
      <c r="Q74" s="27" t="str">
        <f t="shared" si="10"/>
        <v>Electronics</v>
      </c>
      <c r="R74" s="27" t="str">
        <f t="shared" si="11"/>
        <v>positionectronics</v>
      </c>
      <c r="S74" s="27" t="str">
        <f t="shared" si="12"/>
        <v>10073-Electronics-(Europe)</v>
      </c>
      <c r="T74" s="27"/>
    </row>
    <row r="75" spans="1:20" x14ac:dyDescent="0.35">
      <c r="A75" s="4">
        <v>10074</v>
      </c>
      <c r="B75" s="5">
        <v>45365</v>
      </c>
      <c r="C75" s="6" t="s">
        <v>13</v>
      </c>
      <c r="D75" s="6" t="s">
        <v>94</v>
      </c>
      <c r="E75" s="6">
        <v>1</v>
      </c>
      <c r="F75" s="6">
        <v>899.99</v>
      </c>
      <c r="G75" s="6">
        <v>899.99</v>
      </c>
      <c r="H75" s="6" t="s">
        <v>15</v>
      </c>
      <c r="I75" s="7" t="s">
        <v>16</v>
      </c>
      <c r="J75" s="22">
        <f>(Table1[[#This Row],[Total Revenue]] * 0.18) + Table1[[#This Row],[Total Revenue]]</f>
        <v>1061.9882</v>
      </c>
      <c r="K75" s="6" t="str">
        <f>TRIM(Table1[[#This Row],[Product Name]])</f>
        <v>De'Longhi Magnifica Espresso Machine</v>
      </c>
      <c r="L75" s="6" t="str">
        <f>UPPER(Table1[[#This Row],[Trimmed words]])</f>
        <v>DE'LONGHI MAGNIFICA ESPRESSO MACHINE</v>
      </c>
      <c r="M75" s="26" t="str">
        <f>LOWER(Table1[[#This Row],[Upper function]])</f>
        <v>de'longhi magnifica espresso machine</v>
      </c>
      <c r="N75" s="26" t="str">
        <f t="shared" si="7"/>
        <v>Hom</v>
      </c>
      <c r="O75" s="26" t="str">
        <f t="shared" si="8"/>
        <v>e Applia</v>
      </c>
      <c r="P75" s="27" t="str">
        <f t="shared" si="9"/>
        <v>liances</v>
      </c>
      <c r="Q75" s="27" t="str">
        <f t="shared" si="10"/>
        <v>Home Appliwordnces</v>
      </c>
      <c r="R75" s="27" t="str">
        <f t="shared" si="11"/>
        <v>positionme Appliances</v>
      </c>
      <c r="S75" s="27" t="str">
        <f t="shared" si="12"/>
        <v>10074-Home Appliances-(Asia)</v>
      </c>
      <c r="T75" s="27"/>
    </row>
    <row r="76" spans="1:20" x14ac:dyDescent="0.35">
      <c r="A76" s="4">
        <v>10075</v>
      </c>
      <c r="B76" s="5">
        <v>45366</v>
      </c>
      <c r="C76" s="6" t="s">
        <v>17</v>
      </c>
      <c r="D76" s="6" t="s">
        <v>95</v>
      </c>
      <c r="E76" s="6">
        <v>5</v>
      </c>
      <c r="F76" s="6">
        <v>49.99</v>
      </c>
      <c r="G76" s="6">
        <v>249.95</v>
      </c>
      <c r="H76" s="6" t="s">
        <v>19</v>
      </c>
      <c r="I76" s="7" t="s">
        <v>20</v>
      </c>
      <c r="J76" s="22">
        <f>(Table1[[#This Row],[Total Revenue]] * 0.18) + Table1[[#This Row],[Total Revenue]]</f>
        <v>294.94099999999997</v>
      </c>
      <c r="K76" s="6" t="str">
        <f>TRIM(Table1[[#This Row],[Product Name]])</f>
        <v>Tommy Hilfiger Polo Shirt</v>
      </c>
      <c r="L76" s="6" t="str">
        <f>UPPER(Table1[[#This Row],[Trimmed words]])</f>
        <v>TOMMY HILFIGER POLO SHIRT</v>
      </c>
      <c r="M76" s="26" t="str">
        <f>LOWER(Table1[[#This Row],[Upper function]])</f>
        <v>tommy hilfiger polo shirt</v>
      </c>
      <c r="N76" s="26" t="str">
        <f t="shared" si="7"/>
        <v>Clo</v>
      </c>
      <c r="O76" s="26" t="str">
        <f t="shared" si="8"/>
        <v>thing</v>
      </c>
      <c r="P76" s="27" t="str">
        <f t="shared" si="9"/>
        <v>lothing</v>
      </c>
      <c r="Q76" s="27" t="str">
        <f t="shared" si="10"/>
        <v>Clothing</v>
      </c>
      <c r="R76" s="27" t="str">
        <f t="shared" si="11"/>
        <v>positionothing</v>
      </c>
      <c r="S76" s="27" t="str">
        <f t="shared" si="12"/>
        <v>10075-Clothing-(North America)</v>
      </c>
      <c r="T76" s="27"/>
    </row>
    <row r="77" spans="1:20" x14ac:dyDescent="0.35">
      <c r="A77" s="4">
        <v>10076</v>
      </c>
      <c r="B77" s="5">
        <v>45367</v>
      </c>
      <c r="C77" s="6" t="s">
        <v>21</v>
      </c>
      <c r="D77" s="6" t="s">
        <v>96</v>
      </c>
      <c r="E77" s="6">
        <v>4</v>
      </c>
      <c r="F77" s="6">
        <v>14.99</v>
      </c>
      <c r="G77" s="6">
        <v>59.96</v>
      </c>
      <c r="H77" s="6" t="s">
        <v>11</v>
      </c>
      <c r="I77" s="7" t="s">
        <v>12</v>
      </c>
      <c r="J77" s="22">
        <f>(Table1[[#This Row],[Total Revenue]] * 0.18) + Table1[[#This Row],[Total Revenue]]</f>
        <v>70.752800000000008</v>
      </c>
      <c r="K77" s="6" t="str">
        <f>TRIM(Table1[[#This Row],[Product Name]])</f>
        <v>To Kill a Mockingbird by Harper Lee</v>
      </c>
      <c r="L77" s="6" t="str">
        <f>UPPER(Table1[[#This Row],[Trimmed words]])</f>
        <v>TO KILL A MOCKINGBIRD BY HARPER LEE</v>
      </c>
      <c r="M77" s="26" t="str">
        <f>LOWER(Table1[[#This Row],[Upper function]])</f>
        <v>to kill a mockingbird by harper lee</v>
      </c>
      <c r="N77" s="26" t="str">
        <f t="shared" si="7"/>
        <v>Boo</v>
      </c>
      <c r="O77" s="26" t="str">
        <f t="shared" si="8"/>
        <v>ks</v>
      </c>
      <c r="P77" s="27" t="str">
        <f t="shared" si="9"/>
        <v>Books</v>
      </c>
      <c r="Q77" s="27" t="str">
        <f t="shared" si="10"/>
        <v>Books</v>
      </c>
      <c r="R77" s="27" t="str">
        <f t="shared" si="11"/>
        <v>positionoks</v>
      </c>
      <c r="S77" s="27" t="str">
        <f t="shared" si="12"/>
        <v>10076-Books-(Europe)</v>
      </c>
      <c r="T77" s="27"/>
    </row>
    <row r="78" spans="1:20" x14ac:dyDescent="0.35">
      <c r="A78" s="4">
        <v>10077</v>
      </c>
      <c r="B78" s="5">
        <v>45368</v>
      </c>
      <c r="C78" s="6" t="s">
        <v>23</v>
      </c>
      <c r="D78" s="6" t="s">
        <v>97</v>
      </c>
      <c r="E78" s="6">
        <v>2</v>
      </c>
      <c r="F78" s="6">
        <v>16</v>
      </c>
      <c r="G78" s="6">
        <v>32</v>
      </c>
      <c r="H78" s="6" t="s">
        <v>15</v>
      </c>
      <c r="I78" s="7" t="s">
        <v>16</v>
      </c>
      <c r="J78" s="22">
        <f>(Table1[[#This Row],[Total Revenue]] * 0.18) + Table1[[#This Row],[Total Revenue]]</f>
        <v>37.76</v>
      </c>
      <c r="K78" s="6" t="str">
        <f>TRIM(Table1[[#This Row],[Product Name]])</f>
        <v>Glossier Boy Brow</v>
      </c>
      <c r="L78" s="6" t="str">
        <f>UPPER(Table1[[#This Row],[Trimmed words]])</f>
        <v>GLOSSIER BOY BROW</v>
      </c>
      <c r="M78" s="26" t="str">
        <f>LOWER(Table1[[#This Row],[Upper function]])</f>
        <v>glossier boy brow</v>
      </c>
      <c r="N78" s="26" t="str">
        <f t="shared" si="7"/>
        <v>Bea</v>
      </c>
      <c r="O78" s="26" t="str">
        <f t="shared" si="8"/>
        <v>uty Prod</v>
      </c>
      <c r="P78" s="27" t="str">
        <f t="shared" si="9"/>
        <v>roducts</v>
      </c>
      <c r="Q78" s="27" t="str">
        <f t="shared" si="10"/>
        <v>Beworduty Products</v>
      </c>
      <c r="R78" s="27" t="str">
        <f t="shared" si="11"/>
        <v>positionauty Products</v>
      </c>
      <c r="S78" s="27" t="str">
        <f t="shared" si="12"/>
        <v>10077-Beauty Products-(Asia)</v>
      </c>
      <c r="T78" s="27"/>
    </row>
    <row r="79" spans="1:20" x14ac:dyDescent="0.35">
      <c r="A79" s="4">
        <v>10078</v>
      </c>
      <c r="B79" s="5">
        <v>45369</v>
      </c>
      <c r="C79" s="6" t="s">
        <v>25</v>
      </c>
      <c r="D79" s="6" t="s">
        <v>98</v>
      </c>
      <c r="E79" s="6">
        <v>3</v>
      </c>
      <c r="F79" s="6">
        <v>69.989999999999995</v>
      </c>
      <c r="G79" s="6">
        <v>209.97</v>
      </c>
      <c r="H79" s="6" t="s">
        <v>19</v>
      </c>
      <c r="I79" s="7" t="s">
        <v>12</v>
      </c>
      <c r="J79" s="22">
        <f>(Table1[[#This Row],[Total Revenue]] * 0.18) + Table1[[#This Row],[Total Revenue]]</f>
        <v>247.7646</v>
      </c>
      <c r="K79" s="6" t="str">
        <f>TRIM(Table1[[#This Row],[Product Name]])</f>
        <v>Rogue Fitness Kettlebell</v>
      </c>
      <c r="L79" s="6" t="str">
        <f>UPPER(Table1[[#This Row],[Trimmed words]])</f>
        <v>ROGUE FITNESS KETTLEBELL</v>
      </c>
      <c r="M79" s="26" t="str">
        <f>LOWER(Table1[[#This Row],[Upper function]])</f>
        <v>rogue fitness kettlebell</v>
      </c>
      <c r="N79" s="26" t="str">
        <f t="shared" si="7"/>
        <v>Spo</v>
      </c>
      <c r="O79" s="26" t="str">
        <f t="shared" si="8"/>
        <v>rts</v>
      </c>
      <c r="P79" s="27" t="str">
        <f t="shared" si="9"/>
        <v>Sports</v>
      </c>
      <c r="Q79" s="27" t="str">
        <f t="shared" si="10"/>
        <v>Sports</v>
      </c>
      <c r="R79" s="27" t="str">
        <f t="shared" si="11"/>
        <v>positionorts</v>
      </c>
      <c r="S79" s="27" t="str">
        <f t="shared" si="12"/>
        <v>10078-Sports-(North America)</v>
      </c>
      <c r="T79" s="27"/>
    </row>
    <row r="80" spans="1:20" x14ac:dyDescent="0.35">
      <c r="A80" s="4">
        <v>10079</v>
      </c>
      <c r="B80" s="5">
        <v>45370</v>
      </c>
      <c r="C80" s="6" t="s">
        <v>9</v>
      </c>
      <c r="D80" s="6" t="s">
        <v>99</v>
      </c>
      <c r="E80" s="6">
        <v>2</v>
      </c>
      <c r="F80" s="6">
        <v>249.99</v>
      </c>
      <c r="G80" s="6">
        <v>499.98</v>
      </c>
      <c r="H80" s="6" t="s">
        <v>11</v>
      </c>
      <c r="I80" s="7" t="s">
        <v>12</v>
      </c>
      <c r="J80" s="22">
        <f>(Table1[[#This Row],[Total Revenue]] * 0.18) + Table1[[#This Row],[Total Revenue]]</f>
        <v>589.97640000000001</v>
      </c>
      <c r="K80" s="6" t="str">
        <f>TRIM(Table1[[#This Row],[Product Name]])</f>
        <v>Apple AirPods Pro</v>
      </c>
      <c r="L80" s="6" t="str">
        <f>UPPER(Table1[[#This Row],[Trimmed words]])</f>
        <v>APPLE AIRPODS PRO</v>
      </c>
      <c r="M80" s="26" t="str">
        <f>LOWER(Table1[[#This Row],[Upper function]])</f>
        <v>apple airpods pro</v>
      </c>
      <c r="N80" s="26" t="str">
        <f t="shared" si="7"/>
        <v>Ele</v>
      </c>
      <c r="O80" s="26" t="str">
        <f t="shared" si="8"/>
        <v>ctronics</v>
      </c>
      <c r="P80" s="27" t="str">
        <f t="shared" si="9"/>
        <v>tronics</v>
      </c>
      <c r="Q80" s="27" t="str">
        <f t="shared" si="10"/>
        <v>Electronics</v>
      </c>
      <c r="R80" s="27" t="str">
        <f t="shared" si="11"/>
        <v>positionectronics</v>
      </c>
      <c r="S80" s="27" t="str">
        <f t="shared" si="12"/>
        <v>10079-Electronics-(Europe)</v>
      </c>
      <c r="T80" s="27"/>
    </row>
    <row r="81" spans="1:20" x14ac:dyDescent="0.35">
      <c r="A81" s="4">
        <v>10080</v>
      </c>
      <c r="B81" s="5">
        <v>45371</v>
      </c>
      <c r="C81" s="6" t="s">
        <v>13</v>
      </c>
      <c r="D81" s="6" t="s">
        <v>100</v>
      </c>
      <c r="E81" s="6">
        <v>1</v>
      </c>
      <c r="F81" s="6">
        <v>499.99</v>
      </c>
      <c r="G81" s="6">
        <v>499.99</v>
      </c>
      <c r="H81" s="6" t="s">
        <v>15</v>
      </c>
      <c r="I81" s="7" t="s">
        <v>16</v>
      </c>
      <c r="J81" s="22">
        <f>(Table1[[#This Row],[Total Revenue]] * 0.18) + Table1[[#This Row],[Total Revenue]]</f>
        <v>589.98820000000001</v>
      </c>
      <c r="K81" s="6" t="str">
        <f>TRIM(Table1[[#This Row],[Product Name]])</f>
        <v>Dyson Pure Cool Link</v>
      </c>
      <c r="L81" s="6" t="str">
        <f>UPPER(Table1[[#This Row],[Trimmed words]])</f>
        <v>DYSON PURE COOL LINK</v>
      </c>
      <c r="M81" s="26" t="str">
        <f>LOWER(Table1[[#This Row],[Upper function]])</f>
        <v>dyson pure cool link</v>
      </c>
      <c r="N81" s="26" t="str">
        <f t="shared" si="7"/>
        <v>Hom</v>
      </c>
      <c r="O81" s="26" t="str">
        <f t="shared" si="8"/>
        <v>e Applia</v>
      </c>
      <c r="P81" s="27" t="str">
        <f t="shared" si="9"/>
        <v>liances</v>
      </c>
      <c r="Q81" s="27" t="str">
        <f t="shared" si="10"/>
        <v>Home Appliwordnces</v>
      </c>
      <c r="R81" s="27" t="str">
        <f t="shared" si="11"/>
        <v>positionme Appliances</v>
      </c>
      <c r="S81" s="27" t="str">
        <f t="shared" si="12"/>
        <v>10080-Home Appliances-(Asia)</v>
      </c>
      <c r="T81" s="27"/>
    </row>
    <row r="82" spans="1:20" x14ac:dyDescent="0.35">
      <c r="A82" s="4">
        <v>10081</v>
      </c>
      <c r="B82" s="5">
        <v>45372</v>
      </c>
      <c r="C82" s="6" t="s">
        <v>17</v>
      </c>
      <c r="D82" s="6" t="s">
        <v>101</v>
      </c>
      <c r="E82" s="6">
        <v>2</v>
      </c>
      <c r="F82" s="6">
        <v>89.99</v>
      </c>
      <c r="G82" s="6">
        <v>179.98</v>
      </c>
      <c r="H82" s="6" t="s">
        <v>19</v>
      </c>
      <c r="I82" s="7" t="s">
        <v>20</v>
      </c>
      <c r="J82" s="22">
        <f>(Table1[[#This Row],[Total Revenue]] * 0.18) + Table1[[#This Row],[Total Revenue]]</f>
        <v>212.37639999999999</v>
      </c>
      <c r="K82" s="6" t="str">
        <f>TRIM(Table1[[#This Row],[Product Name]])</f>
        <v>Levi's Trucker Jacket</v>
      </c>
      <c r="L82" s="6" t="str">
        <f>UPPER(Table1[[#This Row],[Trimmed words]])</f>
        <v>LEVI'S TRUCKER JACKET</v>
      </c>
      <c r="M82" s="26" t="str">
        <f>LOWER(Table1[[#This Row],[Upper function]])</f>
        <v>levi's trucker jacket</v>
      </c>
      <c r="N82" s="26" t="str">
        <f t="shared" si="7"/>
        <v>Clo</v>
      </c>
      <c r="O82" s="26" t="str">
        <f t="shared" si="8"/>
        <v>thing</v>
      </c>
      <c r="P82" s="27" t="str">
        <f t="shared" si="9"/>
        <v>lothing</v>
      </c>
      <c r="Q82" s="27" t="str">
        <f t="shared" si="10"/>
        <v>Clothing</v>
      </c>
      <c r="R82" s="27" t="str">
        <f t="shared" si="11"/>
        <v>positionothing</v>
      </c>
      <c r="S82" s="27" t="str">
        <f t="shared" si="12"/>
        <v>10081-Clothing-(North America)</v>
      </c>
      <c r="T82" s="27"/>
    </row>
    <row r="83" spans="1:20" x14ac:dyDescent="0.35">
      <c r="A83" s="4">
        <v>10082</v>
      </c>
      <c r="B83" s="5">
        <v>45373</v>
      </c>
      <c r="C83" s="6" t="s">
        <v>21</v>
      </c>
      <c r="D83" s="6" t="s">
        <v>102</v>
      </c>
      <c r="E83" s="6">
        <v>3</v>
      </c>
      <c r="F83" s="6">
        <v>12.99</v>
      </c>
      <c r="G83" s="6">
        <v>38.97</v>
      </c>
      <c r="H83" s="6" t="s">
        <v>11</v>
      </c>
      <c r="I83" s="7" t="s">
        <v>12</v>
      </c>
      <c r="J83" s="22">
        <f>(Table1[[#This Row],[Total Revenue]] * 0.18) + Table1[[#This Row],[Total Revenue]]</f>
        <v>45.9846</v>
      </c>
      <c r="K83" s="6" t="str">
        <f>TRIM(Table1[[#This Row],[Product Name]])</f>
        <v>The Hobbit by J.R.R. Tolkien</v>
      </c>
      <c r="L83" s="6" t="str">
        <f>UPPER(Table1[[#This Row],[Trimmed words]])</f>
        <v>THE HOBBIT BY J.R.R. TOLKIEN</v>
      </c>
      <c r="M83" s="26" t="str">
        <f>LOWER(Table1[[#This Row],[Upper function]])</f>
        <v>the hobbit by j.r.r. tolkien</v>
      </c>
      <c r="N83" s="26" t="str">
        <f t="shared" si="7"/>
        <v>Boo</v>
      </c>
      <c r="O83" s="26" t="str">
        <f t="shared" si="8"/>
        <v>ks</v>
      </c>
      <c r="P83" s="27" t="str">
        <f t="shared" si="9"/>
        <v>Books</v>
      </c>
      <c r="Q83" s="27" t="str">
        <f t="shared" si="10"/>
        <v>Books</v>
      </c>
      <c r="R83" s="27" t="str">
        <f t="shared" si="11"/>
        <v>positionoks</v>
      </c>
      <c r="S83" s="27" t="str">
        <f t="shared" si="12"/>
        <v>10082-Books-(Europe)</v>
      </c>
      <c r="T83" s="27"/>
    </row>
    <row r="84" spans="1:20" x14ac:dyDescent="0.35">
      <c r="A84" s="4">
        <v>10083</v>
      </c>
      <c r="B84" s="5">
        <v>45374</v>
      </c>
      <c r="C84" s="6" t="s">
        <v>23</v>
      </c>
      <c r="D84" s="6" t="s">
        <v>103</v>
      </c>
      <c r="E84" s="6">
        <v>1</v>
      </c>
      <c r="F84" s="6">
        <v>100</v>
      </c>
      <c r="G84" s="6">
        <v>100</v>
      </c>
      <c r="H84" s="6" t="s">
        <v>15</v>
      </c>
      <c r="I84" s="7" t="s">
        <v>16</v>
      </c>
      <c r="J84" s="22">
        <f>(Table1[[#This Row],[Total Revenue]] * 0.18) + Table1[[#This Row],[Total Revenue]]</f>
        <v>118</v>
      </c>
      <c r="K84" s="6" t="str">
        <f>TRIM(Table1[[#This Row],[Product Name]])</f>
        <v>Charlotte Tilbury Magic Cream</v>
      </c>
      <c r="L84" s="6" t="str">
        <f>UPPER(Table1[[#This Row],[Trimmed words]])</f>
        <v>CHARLOTTE TILBURY MAGIC CREAM</v>
      </c>
      <c r="M84" s="26" t="str">
        <f>LOWER(Table1[[#This Row],[Upper function]])</f>
        <v>charlotte tilbury magic cream</v>
      </c>
      <c r="N84" s="26" t="str">
        <f t="shared" si="7"/>
        <v>Bea</v>
      </c>
      <c r="O84" s="26" t="str">
        <f t="shared" si="8"/>
        <v>uty Prod</v>
      </c>
      <c r="P84" s="27" t="str">
        <f t="shared" si="9"/>
        <v>roducts</v>
      </c>
      <c r="Q84" s="27" t="str">
        <f t="shared" si="10"/>
        <v>Beworduty Products</v>
      </c>
      <c r="R84" s="27" t="str">
        <f t="shared" si="11"/>
        <v>positionauty Products</v>
      </c>
      <c r="S84" s="27" t="str">
        <f t="shared" si="12"/>
        <v>10083-Beauty Products-(Asia)</v>
      </c>
      <c r="T84" s="27"/>
    </row>
    <row r="85" spans="1:20" x14ac:dyDescent="0.35">
      <c r="A85" s="4">
        <v>10084</v>
      </c>
      <c r="B85" s="5">
        <v>45375</v>
      </c>
      <c r="C85" s="6" t="s">
        <v>25</v>
      </c>
      <c r="D85" s="6" t="s">
        <v>104</v>
      </c>
      <c r="E85" s="6">
        <v>6</v>
      </c>
      <c r="F85" s="6">
        <v>24.99</v>
      </c>
      <c r="G85" s="6">
        <v>149.94</v>
      </c>
      <c r="H85" s="6" t="s">
        <v>19</v>
      </c>
      <c r="I85" s="7" t="s">
        <v>12</v>
      </c>
      <c r="J85" s="22">
        <f>(Table1[[#This Row],[Total Revenue]] * 0.18) + Table1[[#This Row],[Total Revenue]]</f>
        <v>176.92920000000001</v>
      </c>
      <c r="K85" s="6" t="str">
        <f>TRIM(Table1[[#This Row],[Product Name]])</f>
        <v>Spalding NBA Street Basketball</v>
      </c>
      <c r="L85" s="6" t="str">
        <f>UPPER(Table1[[#This Row],[Trimmed words]])</f>
        <v>SPALDING NBA STREET BASKETBALL</v>
      </c>
      <c r="M85" s="26" t="str">
        <f>LOWER(Table1[[#This Row],[Upper function]])</f>
        <v>spalding nba street basketball</v>
      </c>
      <c r="N85" s="26" t="str">
        <f t="shared" si="7"/>
        <v>Spo</v>
      </c>
      <c r="O85" s="26" t="str">
        <f t="shared" si="8"/>
        <v>rts</v>
      </c>
      <c r="P85" s="27" t="str">
        <f t="shared" si="9"/>
        <v>Sports</v>
      </c>
      <c r="Q85" s="27" t="str">
        <f t="shared" si="10"/>
        <v>Sports</v>
      </c>
      <c r="R85" s="27" t="str">
        <f t="shared" si="11"/>
        <v>positionorts</v>
      </c>
      <c r="S85" s="27" t="str">
        <f t="shared" si="12"/>
        <v>10084-Sports-(North America)</v>
      </c>
      <c r="T85" s="27"/>
    </row>
    <row r="86" spans="1:20" x14ac:dyDescent="0.35">
      <c r="A86" s="4">
        <v>10085</v>
      </c>
      <c r="B86" s="5">
        <v>45376</v>
      </c>
      <c r="C86" s="6" t="s">
        <v>9</v>
      </c>
      <c r="D86" s="6" t="s">
        <v>105</v>
      </c>
      <c r="E86" s="6">
        <v>1</v>
      </c>
      <c r="F86" s="6">
        <v>99.99</v>
      </c>
      <c r="G86" s="6">
        <v>99.99</v>
      </c>
      <c r="H86" s="6" t="s">
        <v>11</v>
      </c>
      <c r="I86" s="7" t="s">
        <v>12</v>
      </c>
      <c r="J86" s="22">
        <f>(Table1[[#This Row],[Total Revenue]] * 0.18) + Table1[[#This Row],[Total Revenue]]</f>
        <v>117.98819999999999</v>
      </c>
      <c r="K86" s="6" t="str">
        <f>TRIM(Table1[[#This Row],[Product Name]])</f>
        <v>Ring Video Doorbell</v>
      </c>
      <c r="L86" s="6" t="str">
        <f>UPPER(Table1[[#This Row],[Trimmed words]])</f>
        <v>RING VIDEO DOORBELL</v>
      </c>
      <c r="M86" s="26" t="str">
        <f>LOWER(Table1[[#This Row],[Upper function]])</f>
        <v>ring video doorbell</v>
      </c>
      <c r="N86" s="26" t="str">
        <f t="shared" si="7"/>
        <v>Ele</v>
      </c>
      <c r="O86" s="26" t="str">
        <f t="shared" si="8"/>
        <v>ctronics</v>
      </c>
      <c r="P86" s="27" t="str">
        <f t="shared" si="9"/>
        <v>tronics</v>
      </c>
      <c r="Q86" s="27" t="str">
        <f t="shared" si="10"/>
        <v>Electronics</v>
      </c>
      <c r="R86" s="27" t="str">
        <f t="shared" si="11"/>
        <v>positionectronics</v>
      </c>
      <c r="S86" s="27" t="str">
        <f t="shared" si="12"/>
        <v>10085-Electronics-(Europe)</v>
      </c>
      <c r="T86" s="27"/>
    </row>
    <row r="87" spans="1:20" x14ac:dyDescent="0.35">
      <c r="A87" s="4">
        <v>10086</v>
      </c>
      <c r="B87" s="5">
        <v>45377</v>
      </c>
      <c r="C87" s="6" t="s">
        <v>13</v>
      </c>
      <c r="D87" s="6" t="s">
        <v>106</v>
      </c>
      <c r="E87" s="6">
        <v>2</v>
      </c>
      <c r="F87" s="6">
        <v>1299.99</v>
      </c>
      <c r="G87" s="6">
        <v>2599.98</v>
      </c>
      <c r="H87" s="6" t="s">
        <v>15</v>
      </c>
      <c r="I87" s="7" t="s">
        <v>16</v>
      </c>
      <c r="J87" s="22">
        <f>(Table1[[#This Row],[Total Revenue]] * 0.18) + Table1[[#This Row],[Total Revenue]]</f>
        <v>3067.9764</v>
      </c>
      <c r="K87" s="6" t="str">
        <f>TRIM(Table1[[#This Row],[Product Name]])</f>
        <v>LG OLED TV</v>
      </c>
      <c r="L87" s="6" t="str">
        <f>UPPER(Table1[[#This Row],[Trimmed words]])</f>
        <v>LG OLED TV</v>
      </c>
      <c r="M87" s="26" t="str">
        <f>LOWER(Table1[[#This Row],[Upper function]])</f>
        <v>lg oled tv</v>
      </c>
      <c r="N87" s="26" t="str">
        <f t="shared" si="7"/>
        <v>Hom</v>
      </c>
      <c r="O87" s="26" t="str">
        <f t="shared" si="8"/>
        <v>e Applia</v>
      </c>
      <c r="P87" s="27" t="str">
        <f t="shared" si="9"/>
        <v>liances</v>
      </c>
      <c r="Q87" s="27" t="str">
        <f t="shared" si="10"/>
        <v>Home Appliwordnces</v>
      </c>
      <c r="R87" s="27" t="str">
        <f t="shared" si="11"/>
        <v>positionme Appliances</v>
      </c>
      <c r="S87" s="27" t="str">
        <f t="shared" si="12"/>
        <v>10086-Home Appliances-(Asia)</v>
      </c>
      <c r="T87" s="27"/>
    </row>
    <row r="88" spans="1:20" x14ac:dyDescent="0.35">
      <c r="A88" s="4">
        <v>10087</v>
      </c>
      <c r="B88" s="5">
        <v>45378</v>
      </c>
      <c r="C88" s="6" t="s">
        <v>17</v>
      </c>
      <c r="D88" s="6" t="s">
        <v>107</v>
      </c>
      <c r="E88" s="6">
        <v>3</v>
      </c>
      <c r="F88" s="6">
        <v>79.989999999999995</v>
      </c>
      <c r="G88" s="6">
        <v>239.97</v>
      </c>
      <c r="H88" s="6" t="s">
        <v>19</v>
      </c>
      <c r="I88" s="7" t="s">
        <v>20</v>
      </c>
      <c r="J88" s="22">
        <f>(Table1[[#This Row],[Total Revenue]] * 0.18) + Table1[[#This Row],[Total Revenue]]</f>
        <v>283.16460000000001</v>
      </c>
      <c r="K88" s="6" t="str">
        <f>TRIM(Table1[[#This Row],[Product Name]])</f>
        <v>Uniqlo Ultra Light Down Jacket</v>
      </c>
      <c r="L88" s="6" t="str">
        <f>UPPER(Table1[[#This Row],[Trimmed words]])</f>
        <v>UNIQLO ULTRA LIGHT DOWN JACKET</v>
      </c>
      <c r="M88" s="26" t="str">
        <f>LOWER(Table1[[#This Row],[Upper function]])</f>
        <v>uniqlo ultra light down jacket</v>
      </c>
      <c r="N88" s="26" t="str">
        <f t="shared" si="7"/>
        <v>Clo</v>
      </c>
      <c r="O88" s="26" t="str">
        <f t="shared" si="8"/>
        <v>thing</v>
      </c>
      <c r="P88" s="27" t="str">
        <f t="shared" si="9"/>
        <v>lothing</v>
      </c>
      <c r="Q88" s="27" t="str">
        <f t="shared" si="10"/>
        <v>Clothing</v>
      </c>
      <c r="R88" s="27" t="str">
        <f t="shared" si="11"/>
        <v>positionothing</v>
      </c>
      <c r="S88" s="27" t="str">
        <f t="shared" si="12"/>
        <v>10087-Clothing-(North America)</v>
      </c>
      <c r="T88" s="27"/>
    </row>
    <row r="89" spans="1:20" x14ac:dyDescent="0.35">
      <c r="A89" s="4">
        <v>10088</v>
      </c>
      <c r="B89" s="5">
        <v>45379</v>
      </c>
      <c r="C89" s="6" t="s">
        <v>21</v>
      </c>
      <c r="D89" s="6" t="s">
        <v>108</v>
      </c>
      <c r="E89" s="6">
        <v>4</v>
      </c>
      <c r="F89" s="6">
        <v>13.99</v>
      </c>
      <c r="G89" s="6">
        <v>55.96</v>
      </c>
      <c r="H89" s="6" t="s">
        <v>11</v>
      </c>
      <c r="I89" s="7" t="s">
        <v>12</v>
      </c>
      <c r="J89" s="22">
        <f>(Table1[[#This Row],[Total Revenue]] * 0.18) + Table1[[#This Row],[Total Revenue]]</f>
        <v>66.032799999999995</v>
      </c>
      <c r="K89" s="6" t="str">
        <f>TRIM(Table1[[#This Row],[Product Name]])</f>
        <v>The Catcher in the Rye by J.D. Salinger</v>
      </c>
      <c r="L89" s="6" t="str">
        <f>UPPER(Table1[[#This Row],[Trimmed words]])</f>
        <v>THE CATCHER IN THE RYE BY J.D. SALINGER</v>
      </c>
      <c r="M89" s="26" t="str">
        <f>LOWER(Table1[[#This Row],[Upper function]])</f>
        <v>the catcher in the rye by j.d. salinger</v>
      </c>
      <c r="N89" s="26" t="str">
        <f t="shared" si="7"/>
        <v>Boo</v>
      </c>
      <c r="O89" s="26" t="str">
        <f t="shared" si="8"/>
        <v>ks</v>
      </c>
      <c r="P89" s="27" t="str">
        <f t="shared" si="9"/>
        <v>Books</v>
      </c>
      <c r="Q89" s="27" t="str">
        <f t="shared" si="10"/>
        <v>Books</v>
      </c>
      <c r="R89" s="27" t="str">
        <f t="shared" si="11"/>
        <v>positionoks</v>
      </c>
      <c r="S89" s="27" t="str">
        <f t="shared" si="12"/>
        <v>10088-Books-(Europe)</v>
      </c>
      <c r="T89" s="27"/>
    </row>
    <row r="90" spans="1:20" x14ac:dyDescent="0.35">
      <c r="A90" s="4">
        <v>10089</v>
      </c>
      <c r="B90" s="5">
        <v>45380</v>
      </c>
      <c r="C90" s="6" t="s">
        <v>23</v>
      </c>
      <c r="D90" s="6" t="s">
        <v>109</v>
      </c>
      <c r="E90" s="6">
        <v>1</v>
      </c>
      <c r="F90" s="6">
        <v>105</v>
      </c>
      <c r="G90" s="6">
        <v>105</v>
      </c>
      <c r="H90" s="6" t="s">
        <v>15</v>
      </c>
      <c r="I90" s="7" t="s">
        <v>16</v>
      </c>
      <c r="J90" s="22">
        <f>(Table1[[#This Row],[Total Revenue]] * 0.18) + Table1[[#This Row],[Total Revenue]]</f>
        <v>123.9</v>
      </c>
      <c r="K90" s="6" t="str">
        <f>TRIM(Table1[[#This Row],[Product Name]])</f>
        <v>Sunday Riley Good Genes</v>
      </c>
      <c r="L90" s="6" t="str">
        <f>UPPER(Table1[[#This Row],[Trimmed words]])</f>
        <v>SUNDAY RILEY GOOD GENES</v>
      </c>
      <c r="M90" s="26" t="str">
        <f>LOWER(Table1[[#This Row],[Upper function]])</f>
        <v>sunday riley good genes</v>
      </c>
      <c r="N90" s="26" t="str">
        <f t="shared" si="7"/>
        <v>Bea</v>
      </c>
      <c r="O90" s="26" t="str">
        <f t="shared" si="8"/>
        <v>uty Prod</v>
      </c>
      <c r="P90" s="27" t="str">
        <f t="shared" si="9"/>
        <v>roducts</v>
      </c>
      <c r="Q90" s="27" t="str">
        <f t="shared" si="10"/>
        <v>Beworduty Products</v>
      </c>
      <c r="R90" s="27" t="str">
        <f t="shared" si="11"/>
        <v>positionauty Products</v>
      </c>
      <c r="S90" s="27" t="str">
        <f t="shared" si="12"/>
        <v>10089-Beauty Products-(Asia)</v>
      </c>
      <c r="T90" s="27"/>
    </row>
    <row r="91" spans="1:20" x14ac:dyDescent="0.35">
      <c r="A91" s="4">
        <v>10090</v>
      </c>
      <c r="B91" s="5">
        <v>45381</v>
      </c>
      <c r="C91" s="6" t="s">
        <v>25</v>
      </c>
      <c r="D91" s="6" t="s">
        <v>110</v>
      </c>
      <c r="E91" s="6">
        <v>2</v>
      </c>
      <c r="F91" s="6">
        <v>129.99</v>
      </c>
      <c r="G91" s="6">
        <v>259.98</v>
      </c>
      <c r="H91" s="6" t="s">
        <v>19</v>
      </c>
      <c r="I91" s="7" t="s">
        <v>12</v>
      </c>
      <c r="J91" s="22">
        <f>(Table1[[#This Row],[Total Revenue]] * 0.18) + Table1[[#This Row],[Total Revenue]]</f>
        <v>306.77640000000002</v>
      </c>
      <c r="K91" s="6" t="str">
        <f>TRIM(Table1[[#This Row],[Product Name]])</f>
        <v>On Running Cloud Shoes</v>
      </c>
      <c r="L91" s="6" t="str">
        <f>UPPER(Table1[[#This Row],[Trimmed words]])</f>
        <v>ON RUNNING CLOUD SHOES</v>
      </c>
      <c r="M91" s="26" t="str">
        <f>LOWER(Table1[[#This Row],[Upper function]])</f>
        <v>on running cloud shoes</v>
      </c>
      <c r="N91" s="26" t="str">
        <f t="shared" si="7"/>
        <v>Spo</v>
      </c>
      <c r="O91" s="26" t="str">
        <f t="shared" si="8"/>
        <v>rts</v>
      </c>
      <c r="P91" s="27" t="str">
        <f t="shared" si="9"/>
        <v>Sports</v>
      </c>
      <c r="Q91" s="27" t="str">
        <f t="shared" si="10"/>
        <v>Sports</v>
      </c>
      <c r="R91" s="27" t="str">
        <f t="shared" si="11"/>
        <v>positionorts</v>
      </c>
      <c r="S91" s="27" t="str">
        <f t="shared" si="12"/>
        <v>10090-Sports-(North America)</v>
      </c>
      <c r="T91" s="27"/>
    </row>
    <row r="92" spans="1:20" x14ac:dyDescent="0.35">
      <c r="A92" s="4">
        <v>10091</v>
      </c>
      <c r="B92" s="5">
        <v>45382</v>
      </c>
      <c r="C92" s="6" t="s">
        <v>9</v>
      </c>
      <c r="D92" s="6" t="s">
        <v>111</v>
      </c>
      <c r="E92" s="6">
        <v>2</v>
      </c>
      <c r="F92" s="6">
        <v>99.99</v>
      </c>
      <c r="G92" s="6">
        <v>199.98</v>
      </c>
      <c r="H92" s="6" t="s">
        <v>11</v>
      </c>
      <c r="I92" s="7" t="s">
        <v>12</v>
      </c>
      <c r="J92" s="22">
        <f>(Table1[[#This Row],[Total Revenue]] * 0.18) + Table1[[#This Row],[Total Revenue]]</f>
        <v>235.97639999999998</v>
      </c>
      <c r="K92" s="6" t="str">
        <f>TRIM(Table1[[#This Row],[Product Name]])</f>
        <v>Logitech MX Master 3 Mouse</v>
      </c>
      <c r="L92" s="6" t="str">
        <f>UPPER(Table1[[#This Row],[Trimmed words]])</f>
        <v>LOGITECH MX MASTER 3 MOUSE</v>
      </c>
      <c r="M92" s="26" t="str">
        <f>LOWER(Table1[[#This Row],[Upper function]])</f>
        <v>logitech mx master 3 mouse</v>
      </c>
      <c r="N92" s="26" t="str">
        <f t="shared" si="7"/>
        <v>Ele</v>
      </c>
      <c r="O92" s="26" t="str">
        <f t="shared" si="8"/>
        <v>ctronics</v>
      </c>
      <c r="P92" s="27" t="str">
        <f t="shared" si="9"/>
        <v>tronics</v>
      </c>
      <c r="Q92" s="27" t="str">
        <f t="shared" si="10"/>
        <v>Electronics</v>
      </c>
      <c r="R92" s="27" t="str">
        <f t="shared" si="11"/>
        <v>positionectronics</v>
      </c>
      <c r="S92" s="27" t="str">
        <f t="shared" si="12"/>
        <v>10091-Electronics-(Europe)</v>
      </c>
      <c r="T92" s="27"/>
    </row>
    <row r="93" spans="1:20" x14ac:dyDescent="0.35">
      <c r="A93" s="4">
        <v>10092</v>
      </c>
      <c r="B93" s="5">
        <v>45383</v>
      </c>
      <c r="C93" s="6" t="s">
        <v>13</v>
      </c>
      <c r="D93" s="6" t="s">
        <v>112</v>
      </c>
      <c r="E93" s="6">
        <v>1</v>
      </c>
      <c r="F93" s="6">
        <v>179.99</v>
      </c>
      <c r="G93" s="6">
        <v>179.99</v>
      </c>
      <c r="H93" s="6" t="s">
        <v>15</v>
      </c>
      <c r="I93" s="7" t="s">
        <v>16</v>
      </c>
      <c r="J93" s="22">
        <f>(Table1[[#This Row],[Total Revenue]] * 0.18) + Table1[[#This Row],[Total Revenue]]</f>
        <v>212.38820000000001</v>
      </c>
      <c r="K93" s="6" t="str">
        <f>TRIM(Table1[[#This Row],[Product Name]])</f>
        <v>Instant Pot Duo Crisp</v>
      </c>
      <c r="L93" s="6" t="str">
        <f>UPPER(Table1[[#This Row],[Trimmed words]])</f>
        <v>INSTANT POT DUO CRISP</v>
      </c>
      <c r="M93" s="26" t="str">
        <f>LOWER(Table1[[#This Row],[Upper function]])</f>
        <v>instant pot duo crisp</v>
      </c>
      <c r="N93" s="26" t="str">
        <f t="shared" si="7"/>
        <v>Hom</v>
      </c>
      <c r="O93" s="26" t="str">
        <f t="shared" si="8"/>
        <v>e Applia</v>
      </c>
      <c r="P93" s="27" t="str">
        <f t="shared" si="9"/>
        <v>liances</v>
      </c>
      <c r="Q93" s="27" t="str">
        <f t="shared" si="10"/>
        <v>Home Appliwordnces</v>
      </c>
      <c r="R93" s="27" t="str">
        <f t="shared" si="11"/>
        <v>positionme Appliances</v>
      </c>
      <c r="S93" s="27" t="str">
        <f t="shared" si="12"/>
        <v>10092-Home Appliances-(Asia)</v>
      </c>
      <c r="T93" s="27"/>
    </row>
    <row r="94" spans="1:20" x14ac:dyDescent="0.35">
      <c r="A94" s="4">
        <v>10093</v>
      </c>
      <c r="B94" s="5">
        <v>45384</v>
      </c>
      <c r="C94" s="6" t="s">
        <v>17</v>
      </c>
      <c r="D94" s="6" t="s">
        <v>113</v>
      </c>
      <c r="E94" s="6">
        <v>4</v>
      </c>
      <c r="F94" s="6">
        <v>79.989999999999995</v>
      </c>
      <c r="G94" s="6">
        <v>319.95999999999998</v>
      </c>
      <c r="H94" s="6" t="s">
        <v>19</v>
      </c>
      <c r="I94" s="7" t="s">
        <v>20</v>
      </c>
      <c r="J94" s="22">
        <f>(Table1[[#This Row],[Total Revenue]] * 0.18) + Table1[[#This Row],[Total Revenue]]</f>
        <v>377.55279999999999</v>
      </c>
      <c r="K94" s="6" t="str">
        <f>TRIM(Table1[[#This Row],[Product Name]])</f>
        <v>Adidas Originals Superstar Sneakers</v>
      </c>
      <c r="L94" s="6" t="str">
        <f>UPPER(Table1[[#This Row],[Trimmed words]])</f>
        <v>ADIDAS ORIGINALS SUPERSTAR SNEAKERS</v>
      </c>
      <c r="M94" s="26" t="str">
        <f>LOWER(Table1[[#This Row],[Upper function]])</f>
        <v>adidas originals superstar sneakers</v>
      </c>
      <c r="N94" s="26" t="str">
        <f t="shared" si="7"/>
        <v>Clo</v>
      </c>
      <c r="O94" s="26" t="str">
        <f t="shared" si="8"/>
        <v>thing</v>
      </c>
      <c r="P94" s="27" t="str">
        <f t="shared" si="9"/>
        <v>lothing</v>
      </c>
      <c r="Q94" s="27" t="str">
        <f t="shared" si="10"/>
        <v>Clothing</v>
      </c>
      <c r="R94" s="27" t="str">
        <f t="shared" si="11"/>
        <v>positionothing</v>
      </c>
      <c r="S94" s="27" t="str">
        <f t="shared" si="12"/>
        <v>10093-Clothing-(North America)</v>
      </c>
      <c r="T94" s="27"/>
    </row>
    <row r="95" spans="1:20" x14ac:dyDescent="0.35">
      <c r="A95" s="4">
        <v>10094</v>
      </c>
      <c r="B95" s="5">
        <v>45385</v>
      </c>
      <c r="C95" s="6" t="s">
        <v>21</v>
      </c>
      <c r="D95" s="6" t="s">
        <v>114</v>
      </c>
      <c r="E95" s="6">
        <v>3</v>
      </c>
      <c r="F95" s="6">
        <v>14.99</v>
      </c>
      <c r="G95" s="6">
        <v>44.97</v>
      </c>
      <c r="H95" s="6" t="s">
        <v>11</v>
      </c>
      <c r="I95" s="7" t="s">
        <v>12</v>
      </c>
      <c r="J95" s="22">
        <f>(Table1[[#This Row],[Total Revenue]] * 0.18) + Table1[[#This Row],[Total Revenue]]</f>
        <v>53.064599999999999</v>
      </c>
      <c r="K95" s="6" t="str">
        <f>TRIM(Table1[[#This Row],[Product Name]])</f>
        <v>The Alchemist by Paulo Coelho</v>
      </c>
      <c r="L95" s="6" t="str">
        <f>UPPER(Table1[[#This Row],[Trimmed words]])</f>
        <v>THE ALCHEMIST BY PAULO COELHO</v>
      </c>
      <c r="M95" s="26" t="str">
        <f>LOWER(Table1[[#This Row],[Upper function]])</f>
        <v>the alchemist by paulo coelho</v>
      </c>
      <c r="N95" s="26" t="str">
        <f t="shared" si="7"/>
        <v>Boo</v>
      </c>
      <c r="O95" s="26" t="str">
        <f t="shared" si="8"/>
        <v>ks</v>
      </c>
      <c r="P95" s="27" t="str">
        <f t="shared" si="9"/>
        <v>Books</v>
      </c>
      <c r="Q95" s="27" t="str">
        <f t="shared" si="10"/>
        <v>Books</v>
      </c>
      <c r="R95" s="27" t="str">
        <f t="shared" si="11"/>
        <v>positionoks</v>
      </c>
      <c r="S95" s="27" t="str">
        <f t="shared" si="12"/>
        <v>10094-Books-(Europe)</v>
      </c>
      <c r="T95" s="27"/>
    </row>
    <row r="96" spans="1:20" x14ac:dyDescent="0.35">
      <c r="A96" s="4">
        <v>10095</v>
      </c>
      <c r="B96" s="5">
        <v>45386</v>
      </c>
      <c r="C96" s="6" t="s">
        <v>23</v>
      </c>
      <c r="D96" s="6" t="s">
        <v>115</v>
      </c>
      <c r="E96" s="6">
        <v>1</v>
      </c>
      <c r="F96" s="6">
        <v>68</v>
      </c>
      <c r="G96" s="6">
        <v>68</v>
      </c>
      <c r="H96" s="6" t="s">
        <v>15</v>
      </c>
      <c r="I96" s="7" t="s">
        <v>16</v>
      </c>
      <c r="J96" s="22">
        <f>(Table1[[#This Row],[Total Revenue]] * 0.18) + Table1[[#This Row],[Total Revenue]]</f>
        <v>80.239999999999995</v>
      </c>
      <c r="K96" s="6" t="str">
        <f>TRIM(Table1[[#This Row],[Product Name]])</f>
        <v>Tatcha The Water Cream</v>
      </c>
      <c r="L96" s="6" t="str">
        <f>UPPER(Table1[[#This Row],[Trimmed words]])</f>
        <v>TATCHA THE WATER CREAM</v>
      </c>
      <c r="M96" s="26" t="str">
        <f>LOWER(Table1[[#This Row],[Upper function]])</f>
        <v>tatcha the water cream</v>
      </c>
      <c r="N96" s="26" t="str">
        <f t="shared" si="7"/>
        <v>Bea</v>
      </c>
      <c r="O96" s="26" t="str">
        <f t="shared" si="8"/>
        <v>uty Prod</v>
      </c>
      <c r="P96" s="27" t="str">
        <f t="shared" si="9"/>
        <v>roducts</v>
      </c>
      <c r="Q96" s="27" t="str">
        <f t="shared" si="10"/>
        <v>Beworduty Products</v>
      </c>
      <c r="R96" s="27" t="str">
        <f t="shared" si="11"/>
        <v>positionauty Products</v>
      </c>
      <c r="S96" s="27" t="str">
        <f t="shared" si="12"/>
        <v>10095-Beauty Products-(Asia)</v>
      </c>
      <c r="T96" s="27"/>
    </row>
    <row r="97" spans="1:20" x14ac:dyDescent="0.35">
      <c r="A97" s="4">
        <v>10096</v>
      </c>
      <c r="B97" s="5">
        <v>45387</v>
      </c>
      <c r="C97" s="6" t="s">
        <v>25</v>
      </c>
      <c r="D97" s="6" t="s">
        <v>116</v>
      </c>
      <c r="E97" s="6">
        <v>1</v>
      </c>
      <c r="F97" s="6">
        <v>999.99</v>
      </c>
      <c r="G97" s="6">
        <v>999.99</v>
      </c>
      <c r="H97" s="6" t="s">
        <v>19</v>
      </c>
      <c r="I97" s="7" t="s">
        <v>12</v>
      </c>
      <c r="J97" s="22">
        <f>(Table1[[#This Row],[Total Revenue]] * 0.18) + Table1[[#This Row],[Total Revenue]]</f>
        <v>1179.9882</v>
      </c>
      <c r="K97" s="6" t="str">
        <f>TRIM(Table1[[#This Row],[Product Name]])</f>
        <v>Garmin Fenix 6X Pro</v>
      </c>
      <c r="L97" s="6" t="str">
        <f>UPPER(Table1[[#This Row],[Trimmed words]])</f>
        <v>GARMIN FENIX 6X PRO</v>
      </c>
      <c r="M97" s="26" t="str">
        <f>LOWER(Table1[[#This Row],[Upper function]])</f>
        <v>garmin fenix 6x pro</v>
      </c>
      <c r="N97" s="26" t="str">
        <f t="shared" si="7"/>
        <v>Spo</v>
      </c>
      <c r="O97" s="26" t="str">
        <f t="shared" si="8"/>
        <v>rts</v>
      </c>
      <c r="P97" s="27" t="str">
        <f t="shared" si="9"/>
        <v>Sports</v>
      </c>
      <c r="Q97" s="27" t="str">
        <f t="shared" si="10"/>
        <v>Sports</v>
      </c>
      <c r="R97" s="27" t="str">
        <f t="shared" si="11"/>
        <v>positionorts</v>
      </c>
      <c r="S97" s="27" t="str">
        <f t="shared" si="12"/>
        <v>10096-Sports-(North America)</v>
      </c>
      <c r="T97" s="27"/>
    </row>
    <row r="98" spans="1:20" x14ac:dyDescent="0.35">
      <c r="A98" s="4">
        <v>10097</v>
      </c>
      <c r="B98" s="5">
        <v>45388</v>
      </c>
      <c r="C98" s="6" t="s">
        <v>9</v>
      </c>
      <c r="D98" s="6" t="s">
        <v>117</v>
      </c>
      <c r="E98" s="6">
        <v>3</v>
      </c>
      <c r="F98" s="6">
        <v>299.99</v>
      </c>
      <c r="G98" s="6">
        <v>899.97</v>
      </c>
      <c r="H98" s="6" t="s">
        <v>11</v>
      </c>
      <c r="I98" s="7" t="s">
        <v>12</v>
      </c>
      <c r="J98" s="22">
        <f>(Table1[[#This Row],[Total Revenue]] * 0.18) + Table1[[#This Row],[Total Revenue]]</f>
        <v>1061.9646</v>
      </c>
      <c r="K98" s="6" t="str">
        <f>TRIM(Table1[[#This Row],[Product Name]])</f>
        <v>Bose SoundLink Revolve+ Speaker</v>
      </c>
      <c r="L98" s="6" t="str">
        <f>UPPER(Table1[[#This Row],[Trimmed words]])</f>
        <v>BOSE SOUNDLINK REVOLVE+ SPEAKER</v>
      </c>
      <c r="M98" s="26" t="str">
        <f>LOWER(Table1[[#This Row],[Upper function]])</f>
        <v>bose soundlink revolve+ speaker</v>
      </c>
      <c r="N98" s="26" t="str">
        <f t="shared" si="7"/>
        <v>Ele</v>
      </c>
      <c r="O98" s="26" t="str">
        <f t="shared" si="8"/>
        <v>ctronics</v>
      </c>
      <c r="P98" s="27" t="str">
        <f t="shared" si="9"/>
        <v>tronics</v>
      </c>
      <c r="Q98" s="27" t="str">
        <f t="shared" si="10"/>
        <v>Electronics</v>
      </c>
      <c r="R98" s="27" t="str">
        <f t="shared" si="11"/>
        <v>positionectronics</v>
      </c>
      <c r="S98" s="27" t="str">
        <f t="shared" si="12"/>
        <v>10097-Electronics-(Europe)</v>
      </c>
      <c r="T98" s="27"/>
    </row>
    <row r="99" spans="1:20" x14ac:dyDescent="0.35">
      <c r="A99" s="4">
        <v>10098</v>
      </c>
      <c r="B99" s="5">
        <v>45389</v>
      </c>
      <c r="C99" s="6" t="s">
        <v>13</v>
      </c>
      <c r="D99" s="6" t="s">
        <v>118</v>
      </c>
      <c r="E99" s="6">
        <v>1</v>
      </c>
      <c r="F99" s="6">
        <v>349.99</v>
      </c>
      <c r="G99" s="6">
        <v>349.99</v>
      </c>
      <c r="H99" s="6" t="s">
        <v>15</v>
      </c>
      <c r="I99" s="7" t="s">
        <v>16</v>
      </c>
      <c r="J99" s="22">
        <f>(Table1[[#This Row],[Total Revenue]] * 0.18) + Table1[[#This Row],[Total Revenue]]</f>
        <v>412.98820000000001</v>
      </c>
      <c r="K99" s="6" t="str">
        <f>TRIM(Table1[[#This Row],[Product Name]])</f>
        <v>Vitamix Explorian Blender</v>
      </c>
      <c r="L99" s="6" t="str">
        <f>UPPER(Table1[[#This Row],[Trimmed words]])</f>
        <v>VITAMIX EXPLORIAN BLENDER</v>
      </c>
      <c r="M99" s="26" t="str">
        <f>LOWER(Table1[[#This Row],[Upper function]])</f>
        <v>vitamix explorian blender</v>
      </c>
      <c r="N99" s="26" t="str">
        <f t="shared" si="7"/>
        <v>Hom</v>
      </c>
      <c r="O99" s="26" t="str">
        <f t="shared" si="8"/>
        <v>e Applia</v>
      </c>
      <c r="P99" s="27" t="str">
        <f t="shared" si="9"/>
        <v>liances</v>
      </c>
      <c r="Q99" s="27" t="str">
        <f t="shared" si="10"/>
        <v>Home Appliwordnces</v>
      </c>
      <c r="R99" s="27" t="str">
        <f t="shared" si="11"/>
        <v>positionme Appliances</v>
      </c>
      <c r="S99" s="27" t="str">
        <f t="shared" si="12"/>
        <v>10098-Home Appliances-(Asia)</v>
      </c>
      <c r="T99" s="27"/>
    </row>
    <row r="100" spans="1:20" x14ac:dyDescent="0.35">
      <c r="A100" s="4">
        <v>10099</v>
      </c>
      <c r="B100" s="5">
        <v>45390</v>
      </c>
      <c r="C100" s="6" t="s">
        <v>17</v>
      </c>
      <c r="D100" s="6" t="s">
        <v>119</v>
      </c>
      <c r="E100" s="6">
        <v>6</v>
      </c>
      <c r="F100" s="6">
        <v>19.989999999999998</v>
      </c>
      <c r="G100" s="6">
        <v>119.94</v>
      </c>
      <c r="H100" s="6" t="s">
        <v>19</v>
      </c>
      <c r="I100" s="7" t="s">
        <v>20</v>
      </c>
      <c r="J100" s="22">
        <f>(Table1[[#This Row],[Total Revenue]] * 0.18) + Table1[[#This Row],[Total Revenue]]</f>
        <v>141.5292</v>
      </c>
      <c r="K100" s="6" t="str">
        <f>TRIM(Table1[[#This Row],[Product Name]])</f>
        <v>Gap Essential Crewneck T-Shirt</v>
      </c>
      <c r="L100" s="6" t="str">
        <f>UPPER(Table1[[#This Row],[Trimmed words]])</f>
        <v>GAP ESSENTIAL CREWNECK T-SHIRT</v>
      </c>
      <c r="M100" s="26" t="str">
        <f>LOWER(Table1[[#This Row],[Upper function]])</f>
        <v>gap essential crewneck t-shirt</v>
      </c>
      <c r="N100" s="26" t="str">
        <f t="shared" si="7"/>
        <v>Clo</v>
      </c>
      <c r="O100" s="26" t="str">
        <f t="shared" si="8"/>
        <v>thing</v>
      </c>
      <c r="P100" s="27" t="str">
        <f t="shared" si="9"/>
        <v>lothing</v>
      </c>
      <c r="Q100" s="27" t="str">
        <f t="shared" si="10"/>
        <v>Clothing</v>
      </c>
      <c r="R100" s="27" t="str">
        <f t="shared" si="11"/>
        <v>positionothing</v>
      </c>
      <c r="S100" s="27" t="str">
        <f t="shared" si="12"/>
        <v>10099-Clothing-(North America)</v>
      </c>
      <c r="T100" s="27"/>
    </row>
    <row r="101" spans="1:20" x14ac:dyDescent="0.35">
      <c r="A101" s="4">
        <v>10100</v>
      </c>
      <c r="B101" s="5">
        <v>45391</v>
      </c>
      <c r="C101" s="6" t="s">
        <v>21</v>
      </c>
      <c r="D101" s="6" t="s">
        <v>120</v>
      </c>
      <c r="E101" s="6">
        <v>2</v>
      </c>
      <c r="F101" s="6">
        <v>12.99</v>
      </c>
      <c r="G101" s="6">
        <v>25.98</v>
      </c>
      <c r="H101" s="6" t="s">
        <v>11</v>
      </c>
      <c r="I101" s="7" t="s">
        <v>12</v>
      </c>
      <c r="J101" s="22">
        <f>(Table1[[#This Row],[Total Revenue]] * 0.18) + Table1[[#This Row],[Total Revenue]]</f>
        <v>30.656400000000001</v>
      </c>
      <c r="K101" s="6" t="str">
        <f>TRIM(Table1[[#This Row],[Product Name]])</f>
        <v>The Power of Now by Eckhart Tolle</v>
      </c>
      <c r="L101" s="6" t="str">
        <f>UPPER(Table1[[#This Row],[Trimmed words]])</f>
        <v>THE POWER OF NOW BY ECKHART TOLLE</v>
      </c>
      <c r="M101" s="26" t="str">
        <f>LOWER(Table1[[#This Row],[Upper function]])</f>
        <v>the power of now by eckhart tolle</v>
      </c>
      <c r="N101" s="26" t="str">
        <f t="shared" si="7"/>
        <v>Boo</v>
      </c>
      <c r="O101" s="26" t="str">
        <f t="shared" si="8"/>
        <v>ks</v>
      </c>
      <c r="P101" s="27" t="str">
        <f t="shared" si="9"/>
        <v>Books</v>
      </c>
      <c r="Q101" s="27" t="str">
        <f t="shared" si="10"/>
        <v>Books</v>
      </c>
      <c r="R101" s="27" t="str">
        <f t="shared" si="11"/>
        <v>positionoks</v>
      </c>
      <c r="S101" s="27" t="str">
        <f t="shared" si="12"/>
        <v>10100-Books-(Europe)</v>
      </c>
      <c r="T101" s="27"/>
    </row>
    <row r="102" spans="1:20" x14ac:dyDescent="0.35">
      <c r="A102" s="4">
        <v>10101</v>
      </c>
      <c r="B102" s="5">
        <v>45392</v>
      </c>
      <c r="C102" s="6" t="s">
        <v>23</v>
      </c>
      <c r="D102" s="6" t="s">
        <v>121</v>
      </c>
      <c r="E102" s="6">
        <v>1</v>
      </c>
      <c r="F102" s="6">
        <v>82</v>
      </c>
      <c r="G102" s="6">
        <v>82</v>
      </c>
      <c r="H102" s="6" t="s">
        <v>15</v>
      </c>
      <c r="I102" s="7" t="s">
        <v>16</v>
      </c>
      <c r="J102" s="22">
        <f>(Table1[[#This Row],[Total Revenue]] * 0.18) + Table1[[#This Row],[Total Revenue]]</f>
        <v>96.76</v>
      </c>
      <c r="K102" s="6" t="str">
        <f>TRIM(Table1[[#This Row],[Product Name]])</f>
        <v>Kiehl's Midnight Recovery Concentrate</v>
      </c>
      <c r="L102" s="6" t="str">
        <f>UPPER(Table1[[#This Row],[Trimmed words]])</f>
        <v>KIEHL'S MIDNIGHT RECOVERY CONCENTRATE</v>
      </c>
      <c r="M102" s="26" t="str">
        <f>LOWER(Table1[[#This Row],[Upper function]])</f>
        <v>kiehl's midnight recovery concentrate</v>
      </c>
      <c r="N102" s="26" t="str">
        <f t="shared" si="7"/>
        <v>Bea</v>
      </c>
      <c r="O102" s="26" t="str">
        <f t="shared" si="8"/>
        <v>uty Prod</v>
      </c>
      <c r="P102" s="27" t="str">
        <f t="shared" si="9"/>
        <v>roducts</v>
      </c>
      <c r="Q102" s="27" t="str">
        <f t="shared" si="10"/>
        <v>Beworduty Products</v>
      </c>
      <c r="R102" s="27" t="str">
        <f t="shared" si="11"/>
        <v>positionauty Products</v>
      </c>
      <c r="S102" s="27" t="str">
        <f t="shared" si="12"/>
        <v>10101-Beauty Products-(Asia)</v>
      </c>
      <c r="T102" s="27"/>
    </row>
    <row r="103" spans="1:20" x14ac:dyDescent="0.35">
      <c r="A103" s="4">
        <v>10102</v>
      </c>
      <c r="B103" s="5">
        <v>45393</v>
      </c>
      <c r="C103" s="6" t="s">
        <v>25</v>
      </c>
      <c r="D103" s="6" t="s">
        <v>122</v>
      </c>
      <c r="E103" s="6">
        <v>2</v>
      </c>
      <c r="F103" s="6">
        <v>109.99</v>
      </c>
      <c r="G103" s="6">
        <v>219.98</v>
      </c>
      <c r="H103" s="6" t="s">
        <v>19</v>
      </c>
      <c r="I103" s="7" t="s">
        <v>12</v>
      </c>
      <c r="J103" s="22">
        <f>(Table1[[#This Row],[Total Revenue]] * 0.18) + Table1[[#This Row],[Total Revenue]]</f>
        <v>259.57639999999998</v>
      </c>
      <c r="K103" s="6" t="str">
        <f>TRIM(Table1[[#This Row],[Product Name]])</f>
        <v>Under Armour HOVR Sonic 4 Shoes</v>
      </c>
      <c r="L103" s="6" t="str">
        <f>UPPER(Table1[[#This Row],[Trimmed words]])</f>
        <v>UNDER ARMOUR HOVR SONIC 4 SHOES</v>
      </c>
      <c r="M103" s="26" t="str">
        <f>LOWER(Table1[[#This Row],[Upper function]])</f>
        <v>under armour hovr sonic 4 shoes</v>
      </c>
      <c r="N103" s="26" t="str">
        <f t="shared" si="7"/>
        <v>Spo</v>
      </c>
      <c r="O103" s="26" t="str">
        <f t="shared" si="8"/>
        <v>rts</v>
      </c>
      <c r="P103" s="27" t="str">
        <f t="shared" si="9"/>
        <v>Sports</v>
      </c>
      <c r="Q103" s="27" t="str">
        <f t="shared" si="10"/>
        <v>Sports</v>
      </c>
      <c r="R103" s="27" t="str">
        <f t="shared" si="11"/>
        <v>positionorts</v>
      </c>
      <c r="S103" s="27" t="str">
        <f t="shared" si="12"/>
        <v>10102-Sports-(North America)</v>
      </c>
      <c r="T103" s="27"/>
    </row>
    <row r="104" spans="1:20" x14ac:dyDescent="0.35">
      <c r="A104" s="4">
        <v>10103</v>
      </c>
      <c r="B104" s="5">
        <v>45394</v>
      </c>
      <c r="C104" s="6" t="s">
        <v>9</v>
      </c>
      <c r="D104" s="6" t="s">
        <v>123</v>
      </c>
      <c r="E104" s="6">
        <v>1</v>
      </c>
      <c r="F104" s="6">
        <v>3899.99</v>
      </c>
      <c r="G104" s="6">
        <v>3899.99</v>
      </c>
      <c r="H104" s="6" t="s">
        <v>11</v>
      </c>
      <c r="I104" s="7" t="s">
        <v>12</v>
      </c>
      <c r="J104" s="22">
        <f>(Table1[[#This Row],[Total Revenue]] * 0.18) + Table1[[#This Row],[Total Revenue]]</f>
        <v>4601.9881999999998</v>
      </c>
      <c r="K104" s="6" t="str">
        <f>TRIM(Table1[[#This Row],[Product Name]])</f>
        <v>Canon EOS R5 Camera</v>
      </c>
      <c r="L104" s="6" t="str">
        <f>UPPER(Table1[[#This Row],[Trimmed words]])</f>
        <v>CANON EOS R5 CAMERA</v>
      </c>
      <c r="M104" s="26" t="str">
        <f>LOWER(Table1[[#This Row],[Upper function]])</f>
        <v>canon eos r5 camera</v>
      </c>
      <c r="N104" s="26" t="str">
        <f t="shared" si="7"/>
        <v>Ele</v>
      </c>
      <c r="O104" s="26" t="str">
        <f t="shared" si="8"/>
        <v>ctronics</v>
      </c>
      <c r="P104" s="27" t="str">
        <f t="shared" si="9"/>
        <v>tronics</v>
      </c>
      <c r="Q104" s="27" t="str">
        <f t="shared" si="10"/>
        <v>Electronics</v>
      </c>
      <c r="R104" s="27" t="str">
        <f t="shared" si="11"/>
        <v>positionectronics</v>
      </c>
      <c r="S104" s="27" t="str">
        <f t="shared" si="12"/>
        <v>10103-Electronics-(Europe)</v>
      </c>
      <c r="T104" s="27"/>
    </row>
    <row r="105" spans="1:20" x14ac:dyDescent="0.35">
      <c r="A105" s="4">
        <v>10104</v>
      </c>
      <c r="B105" s="5">
        <v>45395</v>
      </c>
      <c r="C105" s="6" t="s">
        <v>13</v>
      </c>
      <c r="D105" s="6" t="s">
        <v>124</v>
      </c>
      <c r="E105" s="6">
        <v>2</v>
      </c>
      <c r="F105" s="6">
        <v>349.99</v>
      </c>
      <c r="G105" s="6">
        <v>699.98</v>
      </c>
      <c r="H105" s="6" t="s">
        <v>15</v>
      </c>
      <c r="I105" s="7" t="s">
        <v>16</v>
      </c>
      <c r="J105" s="22">
        <f>(Table1[[#This Row],[Total Revenue]] * 0.18) + Table1[[#This Row],[Total Revenue]]</f>
        <v>825.97640000000001</v>
      </c>
      <c r="K105" s="6" t="str">
        <f>TRIM(Table1[[#This Row],[Product Name]])</f>
        <v>Shark IQ Robot Vacuum</v>
      </c>
      <c r="L105" s="6" t="str">
        <f>UPPER(Table1[[#This Row],[Trimmed words]])</f>
        <v>SHARK IQ ROBOT VACUUM</v>
      </c>
      <c r="M105" s="26" t="str">
        <f>LOWER(Table1[[#This Row],[Upper function]])</f>
        <v>shark iq robot vacuum</v>
      </c>
      <c r="N105" s="26" t="str">
        <f t="shared" si="7"/>
        <v>Hom</v>
      </c>
      <c r="O105" s="26" t="str">
        <f t="shared" si="8"/>
        <v>e Applia</v>
      </c>
      <c r="P105" s="27" t="str">
        <f t="shared" si="9"/>
        <v>liances</v>
      </c>
      <c r="Q105" s="27" t="str">
        <f t="shared" si="10"/>
        <v>Home Appliwordnces</v>
      </c>
      <c r="R105" s="27" t="str">
        <f t="shared" si="11"/>
        <v>positionme Appliances</v>
      </c>
      <c r="S105" s="27" t="str">
        <f t="shared" si="12"/>
        <v>10104-Home Appliances-(Asia)</v>
      </c>
      <c r="T105" s="27"/>
    </row>
    <row r="106" spans="1:20" x14ac:dyDescent="0.35">
      <c r="A106" s="4">
        <v>10105</v>
      </c>
      <c r="B106" s="5">
        <v>45396</v>
      </c>
      <c r="C106" s="6" t="s">
        <v>17</v>
      </c>
      <c r="D106" s="6" t="s">
        <v>125</v>
      </c>
      <c r="E106" s="6">
        <v>3</v>
      </c>
      <c r="F106" s="6">
        <v>39.99</v>
      </c>
      <c r="G106" s="6">
        <v>119.97</v>
      </c>
      <c r="H106" s="6" t="s">
        <v>19</v>
      </c>
      <c r="I106" s="7" t="s">
        <v>20</v>
      </c>
      <c r="J106" s="22">
        <f>(Table1[[#This Row],[Total Revenue]] * 0.18) + Table1[[#This Row],[Total Revenue]]</f>
        <v>141.56459999999998</v>
      </c>
      <c r="K106" s="6" t="str">
        <f>TRIM(Table1[[#This Row],[Product Name]])</f>
        <v>H&amp;M Slim Fit Jeans</v>
      </c>
      <c r="L106" s="6" t="str">
        <f>UPPER(Table1[[#This Row],[Trimmed words]])</f>
        <v>H&amp;M SLIM FIT JEANS</v>
      </c>
      <c r="M106" s="26" t="str">
        <f>LOWER(Table1[[#This Row],[Upper function]])</f>
        <v>h&amp;m slim fit jeans</v>
      </c>
      <c r="N106" s="26" t="str">
        <f t="shared" si="7"/>
        <v>Clo</v>
      </c>
      <c r="O106" s="26" t="str">
        <f t="shared" si="8"/>
        <v>thing</v>
      </c>
      <c r="P106" s="27" t="str">
        <f t="shared" si="9"/>
        <v>lothing</v>
      </c>
      <c r="Q106" s="27" t="str">
        <f t="shared" si="10"/>
        <v>Clothing</v>
      </c>
      <c r="R106" s="27" t="str">
        <f t="shared" si="11"/>
        <v>positionothing</v>
      </c>
      <c r="S106" s="27" t="str">
        <f t="shared" si="12"/>
        <v>10105-Clothing-(North America)</v>
      </c>
      <c r="T106" s="27"/>
    </row>
    <row r="107" spans="1:20" x14ac:dyDescent="0.35">
      <c r="A107" s="4">
        <v>10106</v>
      </c>
      <c r="B107" s="5">
        <v>45397</v>
      </c>
      <c r="C107" s="6" t="s">
        <v>21</v>
      </c>
      <c r="D107" s="6" t="s">
        <v>126</v>
      </c>
      <c r="E107" s="6">
        <v>4</v>
      </c>
      <c r="F107" s="6">
        <v>10.99</v>
      </c>
      <c r="G107" s="6">
        <v>43.96</v>
      </c>
      <c r="H107" s="6" t="s">
        <v>11</v>
      </c>
      <c r="I107" s="7" t="s">
        <v>12</v>
      </c>
      <c r="J107" s="22">
        <f>(Table1[[#This Row],[Total Revenue]] * 0.18) + Table1[[#This Row],[Total Revenue]]</f>
        <v>51.872799999999998</v>
      </c>
      <c r="K107" s="6" t="str">
        <f>TRIM(Table1[[#This Row],[Product Name]])</f>
        <v>The Girl on the Train by Paula Hawkins</v>
      </c>
      <c r="L107" s="6" t="str">
        <f>UPPER(Table1[[#This Row],[Trimmed words]])</f>
        <v>THE GIRL ON THE TRAIN BY PAULA HAWKINS</v>
      </c>
      <c r="M107" s="26" t="str">
        <f>LOWER(Table1[[#This Row],[Upper function]])</f>
        <v>the girl on the train by paula hawkins</v>
      </c>
      <c r="N107" s="26" t="str">
        <f t="shared" si="7"/>
        <v>Boo</v>
      </c>
      <c r="O107" s="26" t="str">
        <f t="shared" si="8"/>
        <v>ks</v>
      </c>
      <c r="P107" s="27" t="str">
        <f t="shared" si="9"/>
        <v>Books</v>
      </c>
      <c r="Q107" s="27" t="str">
        <f t="shared" si="10"/>
        <v>Books</v>
      </c>
      <c r="R107" s="27" t="str">
        <f t="shared" si="11"/>
        <v>positionoks</v>
      </c>
      <c r="S107" s="27" t="str">
        <f t="shared" si="12"/>
        <v>10106-Books-(Europe)</v>
      </c>
      <c r="T107" s="27"/>
    </row>
    <row r="108" spans="1:20" x14ac:dyDescent="0.35">
      <c r="A108" s="4">
        <v>10107</v>
      </c>
      <c r="B108" s="5">
        <v>45398</v>
      </c>
      <c r="C108" s="6" t="s">
        <v>23</v>
      </c>
      <c r="D108" s="6" t="s">
        <v>127</v>
      </c>
      <c r="E108" s="6">
        <v>1</v>
      </c>
      <c r="F108" s="6">
        <v>6.5</v>
      </c>
      <c r="G108" s="6">
        <v>6.5</v>
      </c>
      <c r="H108" s="6" t="s">
        <v>15</v>
      </c>
      <c r="I108" s="7" t="s">
        <v>16</v>
      </c>
      <c r="J108" s="22">
        <f>(Table1[[#This Row],[Total Revenue]] * 0.18) + Table1[[#This Row],[Total Revenue]]</f>
        <v>7.67</v>
      </c>
      <c r="K108" s="6" t="str">
        <f>TRIM(Table1[[#This Row],[Product Name]])</f>
        <v>The Ordinary Niacinamide Serum</v>
      </c>
      <c r="L108" s="6" t="str">
        <f>UPPER(Table1[[#This Row],[Trimmed words]])</f>
        <v>THE ORDINARY NIACINAMIDE SERUM</v>
      </c>
      <c r="M108" s="26" t="str">
        <f>LOWER(Table1[[#This Row],[Upper function]])</f>
        <v>the ordinary niacinamide serum</v>
      </c>
      <c r="N108" s="26" t="str">
        <f t="shared" si="7"/>
        <v>Bea</v>
      </c>
      <c r="O108" s="26" t="str">
        <f t="shared" si="8"/>
        <v>uty Prod</v>
      </c>
      <c r="P108" s="27" t="str">
        <f t="shared" si="9"/>
        <v>roducts</v>
      </c>
      <c r="Q108" s="27" t="str">
        <f t="shared" si="10"/>
        <v>Beworduty Products</v>
      </c>
      <c r="R108" s="27" t="str">
        <f t="shared" si="11"/>
        <v>positionauty Products</v>
      </c>
      <c r="S108" s="27" t="str">
        <f t="shared" si="12"/>
        <v>10107-Beauty Products-(Asia)</v>
      </c>
      <c r="T108" s="27"/>
    </row>
    <row r="109" spans="1:20" x14ac:dyDescent="0.35">
      <c r="A109" s="4">
        <v>10108</v>
      </c>
      <c r="B109" s="5">
        <v>45399</v>
      </c>
      <c r="C109" s="6" t="s">
        <v>25</v>
      </c>
      <c r="D109" s="6" t="s">
        <v>128</v>
      </c>
      <c r="E109" s="6">
        <v>1</v>
      </c>
      <c r="F109" s="6">
        <v>399.99</v>
      </c>
      <c r="G109" s="6">
        <v>399.99</v>
      </c>
      <c r="H109" s="6" t="s">
        <v>19</v>
      </c>
      <c r="I109" s="7" t="s">
        <v>12</v>
      </c>
      <c r="J109" s="22">
        <f>(Table1[[#This Row],[Total Revenue]] * 0.18) + Table1[[#This Row],[Total Revenue]]</f>
        <v>471.98820000000001</v>
      </c>
      <c r="K109" s="6" t="str">
        <f>TRIM(Table1[[#This Row],[Product Name]])</f>
        <v>Bowflex SelectTech 552 Dumbbells</v>
      </c>
      <c r="L109" s="6" t="str">
        <f>UPPER(Table1[[#This Row],[Trimmed words]])</f>
        <v>BOWFLEX SELECTTECH 552 DUMBBELLS</v>
      </c>
      <c r="M109" s="26" t="str">
        <f>LOWER(Table1[[#This Row],[Upper function]])</f>
        <v>bowflex selecttech 552 dumbbells</v>
      </c>
      <c r="N109" s="26" t="str">
        <f t="shared" si="7"/>
        <v>Spo</v>
      </c>
      <c r="O109" s="26" t="str">
        <f t="shared" si="8"/>
        <v>rts</v>
      </c>
      <c r="P109" s="27" t="str">
        <f t="shared" si="9"/>
        <v>Sports</v>
      </c>
      <c r="Q109" s="27" t="str">
        <f t="shared" si="10"/>
        <v>Sports</v>
      </c>
      <c r="R109" s="27" t="str">
        <f t="shared" si="11"/>
        <v>positionorts</v>
      </c>
      <c r="S109" s="27" t="str">
        <f t="shared" si="12"/>
        <v>10108-Sports-(North America)</v>
      </c>
      <c r="T109" s="27"/>
    </row>
    <row r="110" spans="1:20" x14ac:dyDescent="0.35">
      <c r="A110" s="4">
        <v>10109</v>
      </c>
      <c r="B110" s="5">
        <v>45400</v>
      </c>
      <c r="C110" s="6" t="s">
        <v>9</v>
      </c>
      <c r="D110" s="6" t="s">
        <v>129</v>
      </c>
      <c r="E110" s="6">
        <v>2</v>
      </c>
      <c r="F110" s="6">
        <v>229.99</v>
      </c>
      <c r="G110" s="6">
        <v>459.98</v>
      </c>
      <c r="H110" s="6" t="s">
        <v>11</v>
      </c>
      <c r="I110" s="7" t="s">
        <v>12</v>
      </c>
      <c r="J110" s="22">
        <f>(Table1[[#This Row],[Total Revenue]] * 0.18) + Table1[[#This Row],[Total Revenue]]</f>
        <v>542.77639999999997</v>
      </c>
      <c r="K110" s="6" t="str">
        <f>TRIM(Table1[[#This Row],[Product Name]])</f>
        <v>Google Nest Hub Max</v>
      </c>
      <c r="L110" s="6" t="str">
        <f>UPPER(Table1[[#This Row],[Trimmed words]])</f>
        <v>GOOGLE NEST HUB MAX</v>
      </c>
      <c r="M110" s="26" t="str">
        <f>LOWER(Table1[[#This Row],[Upper function]])</f>
        <v>google nest hub max</v>
      </c>
      <c r="N110" s="26" t="str">
        <f t="shared" si="7"/>
        <v>Ele</v>
      </c>
      <c r="O110" s="26" t="str">
        <f t="shared" si="8"/>
        <v>ctronics</v>
      </c>
      <c r="P110" s="27" t="str">
        <f t="shared" si="9"/>
        <v>tronics</v>
      </c>
      <c r="Q110" s="27" t="str">
        <f t="shared" si="10"/>
        <v>Electronics</v>
      </c>
      <c r="R110" s="27" t="str">
        <f t="shared" si="11"/>
        <v>positionectronics</v>
      </c>
      <c r="S110" s="27" t="str">
        <f t="shared" si="12"/>
        <v>10109-Electronics-(Europe)</v>
      </c>
      <c r="T110" s="27"/>
    </row>
    <row r="111" spans="1:20" x14ac:dyDescent="0.35">
      <c r="A111" s="4">
        <v>10110</v>
      </c>
      <c r="B111" s="5">
        <v>45401</v>
      </c>
      <c r="C111" s="6" t="s">
        <v>13</v>
      </c>
      <c r="D111" s="6" t="s">
        <v>130</v>
      </c>
      <c r="E111" s="6">
        <v>1</v>
      </c>
      <c r="F111" s="6">
        <v>159.99</v>
      </c>
      <c r="G111" s="6">
        <v>159.99</v>
      </c>
      <c r="H111" s="6" t="s">
        <v>15</v>
      </c>
      <c r="I111" s="7" t="s">
        <v>16</v>
      </c>
      <c r="J111" s="22">
        <f>(Table1[[#This Row],[Total Revenue]] * 0.18) + Table1[[#This Row],[Total Revenue]]</f>
        <v>188.78820000000002</v>
      </c>
      <c r="K111" s="6" t="str">
        <f>TRIM(Table1[[#This Row],[Product Name]])</f>
        <v>Cuisinart Griddler Deluxe</v>
      </c>
      <c r="L111" s="6" t="str">
        <f>UPPER(Table1[[#This Row],[Trimmed words]])</f>
        <v>CUISINART GRIDDLER DELUXE</v>
      </c>
      <c r="M111" s="26" t="str">
        <f>LOWER(Table1[[#This Row],[Upper function]])</f>
        <v>cuisinart griddler deluxe</v>
      </c>
      <c r="N111" s="26" t="str">
        <f t="shared" si="7"/>
        <v>Hom</v>
      </c>
      <c r="O111" s="26" t="str">
        <f t="shared" si="8"/>
        <v>e Applia</v>
      </c>
      <c r="P111" s="27" t="str">
        <f t="shared" si="9"/>
        <v>liances</v>
      </c>
      <c r="Q111" s="27" t="str">
        <f t="shared" si="10"/>
        <v>Home Appliwordnces</v>
      </c>
      <c r="R111" s="27" t="str">
        <f t="shared" si="11"/>
        <v>positionme Appliances</v>
      </c>
      <c r="S111" s="27" t="str">
        <f t="shared" si="12"/>
        <v>10110-Home Appliances-(Asia)</v>
      </c>
      <c r="T111" s="27"/>
    </row>
    <row r="112" spans="1:20" x14ac:dyDescent="0.35">
      <c r="A112" s="4">
        <v>10111</v>
      </c>
      <c r="B112" s="5">
        <v>45402</v>
      </c>
      <c r="C112" s="6" t="s">
        <v>17</v>
      </c>
      <c r="D112" s="6" t="s">
        <v>131</v>
      </c>
      <c r="E112" s="6">
        <v>4</v>
      </c>
      <c r="F112" s="6">
        <v>14.99</v>
      </c>
      <c r="G112" s="6">
        <v>59.96</v>
      </c>
      <c r="H112" s="6" t="s">
        <v>19</v>
      </c>
      <c r="I112" s="7" t="s">
        <v>20</v>
      </c>
      <c r="J112" s="22">
        <f>(Table1[[#This Row],[Total Revenue]] * 0.18) + Table1[[#This Row],[Total Revenue]]</f>
        <v>70.752800000000008</v>
      </c>
      <c r="K112" s="6" t="str">
        <f>TRIM(Table1[[#This Row],[Product Name]])</f>
        <v>Old Navy Relaxed-Fit T-Shirt</v>
      </c>
      <c r="L112" s="6" t="str">
        <f>UPPER(Table1[[#This Row],[Trimmed words]])</f>
        <v>OLD NAVY RELAXED-FIT T-SHIRT</v>
      </c>
      <c r="M112" s="26" t="str">
        <f>LOWER(Table1[[#This Row],[Upper function]])</f>
        <v>old navy relaxed-fit t-shirt</v>
      </c>
      <c r="N112" s="26" t="str">
        <f t="shared" si="7"/>
        <v>Clo</v>
      </c>
      <c r="O112" s="26" t="str">
        <f t="shared" si="8"/>
        <v>thing</v>
      </c>
      <c r="P112" s="27" t="str">
        <f t="shared" si="9"/>
        <v>lothing</v>
      </c>
      <c r="Q112" s="27" t="str">
        <f t="shared" si="10"/>
        <v>Clothing</v>
      </c>
      <c r="R112" s="27" t="str">
        <f t="shared" si="11"/>
        <v>positionothing</v>
      </c>
      <c r="S112" s="27" t="str">
        <f t="shared" si="12"/>
        <v>10111-Clothing-(North America)</v>
      </c>
      <c r="T112" s="27"/>
    </row>
    <row r="113" spans="1:20" x14ac:dyDescent="0.35">
      <c r="A113" s="4">
        <v>10112</v>
      </c>
      <c r="B113" s="5">
        <v>45403</v>
      </c>
      <c r="C113" s="6" t="s">
        <v>21</v>
      </c>
      <c r="D113" s="6" t="s">
        <v>132</v>
      </c>
      <c r="E113" s="6">
        <v>2</v>
      </c>
      <c r="F113" s="6">
        <v>18.989999999999998</v>
      </c>
      <c r="G113" s="6">
        <v>37.979999999999997</v>
      </c>
      <c r="H113" s="6" t="s">
        <v>11</v>
      </c>
      <c r="I113" s="7" t="s">
        <v>12</v>
      </c>
      <c r="J113" s="22">
        <f>(Table1[[#This Row],[Total Revenue]] * 0.18) + Table1[[#This Row],[Total Revenue]]</f>
        <v>44.816399999999994</v>
      </c>
      <c r="K113" s="6" t="str">
        <f>TRIM(Table1[[#This Row],[Product Name]])</f>
        <v>Sapiens: A Brief History of Humankind by Yuval Noah Harari</v>
      </c>
      <c r="L113" s="6" t="str">
        <f>UPPER(Table1[[#This Row],[Trimmed words]])</f>
        <v>SAPIENS: A BRIEF HISTORY OF HUMANKIND BY YUVAL NOAH HARARI</v>
      </c>
      <c r="M113" s="26" t="str">
        <f>LOWER(Table1[[#This Row],[Upper function]])</f>
        <v>sapiens: a brief history of humankind by yuval noah harari</v>
      </c>
      <c r="N113" s="26" t="str">
        <f t="shared" si="7"/>
        <v>Boo</v>
      </c>
      <c r="O113" s="26" t="str">
        <f t="shared" si="8"/>
        <v>ks</v>
      </c>
      <c r="P113" s="27" t="str">
        <f t="shared" si="9"/>
        <v>Books</v>
      </c>
      <c r="Q113" s="27" t="str">
        <f t="shared" si="10"/>
        <v>Books</v>
      </c>
      <c r="R113" s="27" t="str">
        <f t="shared" si="11"/>
        <v>positionoks</v>
      </c>
      <c r="S113" s="27" t="str">
        <f t="shared" si="12"/>
        <v>10112-Books-(Europe)</v>
      </c>
      <c r="T113" s="27"/>
    </row>
    <row r="114" spans="1:20" x14ac:dyDescent="0.35">
      <c r="A114" s="4">
        <v>10113</v>
      </c>
      <c r="B114" s="5">
        <v>45404</v>
      </c>
      <c r="C114" s="6" t="s">
        <v>23</v>
      </c>
      <c r="D114" s="6" t="s">
        <v>133</v>
      </c>
      <c r="E114" s="6">
        <v>1</v>
      </c>
      <c r="F114" s="6">
        <v>15</v>
      </c>
      <c r="G114" s="6">
        <v>15</v>
      </c>
      <c r="H114" s="6" t="s">
        <v>15</v>
      </c>
      <c r="I114" s="7" t="s">
        <v>16</v>
      </c>
      <c r="J114" s="22">
        <f>(Table1[[#This Row],[Total Revenue]] * 0.18) + Table1[[#This Row],[Total Revenue]]</f>
        <v>17.7</v>
      </c>
      <c r="K114" s="6" t="str">
        <f>TRIM(Table1[[#This Row],[Product Name]])</f>
        <v>Biore UV Aqua Rich Watery Essence Sunscreen</v>
      </c>
      <c r="L114" s="6" t="str">
        <f>UPPER(Table1[[#This Row],[Trimmed words]])</f>
        <v>BIORE UV AQUA RICH WATERY ESSENCE SUNSCREEN</v>
      </c>
      <c r="M114" s="26" t="str">
        <f>LOWER(Table1[[#This Row],[Upper function]])</f>
        <v>biore uv aqua rich watery essence sunscreen</v>
      </c>
      <c r="N114" s="26" t="str">
        <f t="shared" si="7"/>
        <v>Bea</v>
      </c>
      <c r="O114" s="26" t="str">
        <f t="shared" si="8"/>
        <v>uty Prod</v>
      </c>
      <c r="P114" s="27" t="str">
        <f t="shared" si="9"/>
        <v>roducts</v>
      </c>
      <c r="Q114" s="27" t="str">
        <f t="shared" si="10"/>
        <v>Beworduty Products</v>
      </c>
      <c r="R114" s="27" t="str">
        <f t="shared" si="11"/>
        <v>positionauty Products</v>
      </c>
      <c r="S114" s="27" t="str">
        <f t="shared" si="12"/>
        <v>10113-Beauty Products-(Asia)</v>
      </c>
      <c r="T114" s="27"/>
    </row>
    <row r="115" spans="1:20" x14ac:dyDescent="0.35">
      <c r="A115" s="4">
        <v>10114</v>
      </c>
      <c r="B115" s="5">
        <v>45405</v>
      </c>
      <c r="C115" s="6" t="s">
        <v>25</v>
      </c>
      <c r="D115" s="6" t="s">
        <v>134</v>
      </c>
      <c r="E115" s="6">
        <v>3</v>
      </c>
      <c r="F115" s="6">
        <v>229.95</v>
      </c>
      <c r="G115" s="6">
        <v>689.85</v>
      </c>
      <c r="H115" s="6" t="s">
        <v>19</v>
      </c>
      <c r="I115" s="7" t="s">
        <v>12</v>
      </c>
      <c r="J115" s="22">
        <f>(Table1[[#This Row],[Total Revenue]] * 0.18) + Table1[[#This Row],[Total Revenue]]</f>
        <v>814.02300000000002</v>
      </c>
      <c r="K115" s="6" t="str">
        <f>TRIM(Table1[[#This Row],[Product Name]])</f>
        <v>Fitbit Versa 3</v>
      </c>
      <c r="L115" s="6" t="str">
        <f>UPPER(Table1[[#This Row],[Trimmed words]])</f>
        <v>FITBIT VERSA 3</v>
      </c>
      <c r="M115" s="26" t="str">
        <f>LOWER(Table1[[#This Row],[Upper function]])</f>
        <v>fitbit versa 3</v>
      </c>
      <c r="N115" s="26" t="str">
        <f t="shared" si="7"/>
        <v>Spo</v>
      </c>
      <c r="O115" s="26" t="str">
        <f t="shared" si="8"/>
        <v>rts</v>
      </c>
      <c r="P115" s="27" t="str">
        <f t="shared" si="9"/>
        <v>Sports</v>
      </c>
      <c r="Q115" s="27" t="str">
        <f t="shared" si="10"/>
        <v>Sports</v>
      </c>
      <c r="R115" s="27" t="str">
        <f t="shared" si="11"/>
        <v>positionorts</v>
      </c>
      <c r="S115" s="27" t="str">
        <f t="shared" si="12"/>
        <v>10114-Sports-(North America)</v>
      </c>
      <c r="T115" s="27"/>
    </row>
    <row r="116" spans="1:20" x14ac:dyDescent="0.35">
      <c r="A116" s="4">
        <v>10115</v>
      </c>
      <c r="B116" s="5">
        <v>45406</v>
      </c>
      <c r="C116" s="6" t="s">
        <v>9</v>
      </c>
      <c r="D116" s="6" t="s">
        <v>135</v>
      </c>
      <c r="E116" s="6">
        <v>1</v>
      </c>
      <c r="F116" s="6">
        <v>249.99</v>
      </c>
      <c r="G116" s="6">
        <v>249.99</v>
      </c>
      <c r="H116" s="6" t="s">
        <v>11</v>
      </c>
      <c r="I116" s="7" t="s">
        <v>12</v>
      </c>
      <c r="J116" s="22">
        <f>(Table1[[#This Row],[Total Revenue]] * 0.18) + Table1[[#This Row],[Total Revenue]]</f>
        <v>294.98820000000001</v>
      </c>
      <c r="K116" s="6" t="str">
        <f>TRIM(Table1[[#This Row],[Product Name]])</f>
        <v>Amazon Echo Show 10</v>
      </c>
      <c r="L116" s="6" t="str">
        <f>UPPER(Table1[[#This Row],[Trimmed words]])</f>
        <v>AMAZON ECHO SHOW 10</v>
      </c>
      <c r="M116" s="26" t="str">
        <f>LOWER(Table1[[#This Row],[Upper function]])</f>
        <v>amazon echo show 10</v>
      </c>
      <c r="N116" s="26" t="str">
        <f t="shared" si="7"/>
        <v>Ele</v>
      </c>
      <c r="O116" s="26" t="str">
        <f t="shared" si="8"/>
        <v>ctronics</v>
      </c>
      <c r="P116" s="27" t="str">
        <f t="shared" si="9"/>
        <v>tronics</v>
      </c>
      <c r="Q116" s="27" t="str">
        <f t="shared" si="10"/>
        <v>Electronics</v>
      </c>
      <c r="R116" s="27" t="str">
        <f t="shared" si="11"/>
        <v>positionectronics</v>
      </c>
      <c r="S116" s="27" t="str">
        <f t="shared" si="12"/>
        <v>10115-Electronics-(Europe)</v>
      </c>
      <c r="T116" s="27"/>
    </row>
    <row r="117" spans="1:20" x14ac:dyDescent="0.35">
      <c r="A117" s="4">
        <v>10116</v>
      </c>
      <c r="B117" s="5">
        <v>45407</v>
      </c>
      <c r="C117" s="6" t="s">
        <v>13</v>
      </c>
      <c r="D117" s="6" t="s">
        <v>136</v>
      </c>
      <c r="E117" s="6">
        <v>2</v>
      </c>
      <c r="F117" s="6">
        <v>299.95</v>
      </c>
      <c r="G117" s="6">
        <v>599.9</v>
      </c>
      <c r="H117" s="6" t="s">
        <v>15</v>
      </c>
      <c r="I117" s="7" t="s">
        <v>16</v>
      </c>
      <c r="J117" s="22">
        <f>(Table1[[#This Row],[Total Revenue]] * 0.18) + Table1[[#This Row],[Total Revenue]]</f>
        <v>707.88199999999995</v>
      </c>
      <c r="K117" s="6" t="str">
        <f>TRIM(Table1[[#This Row],[Product Name]])</f>
        <v>Breville Smart Grill</v>
      </c>
      <c r="L117" s="6" t="str">
        <f>UPPER(Table1[[#This Row],[Trimmed words]])</f>
        <v>BREVILLE SMART GRILL</v>
      </c>
      <c r="M117" s="26" t="str">
        <f>LOWER(Table1[[#This Row],[Upper function]])</f>
        <v>breville smart grill</v>
      </c>
      <c r="N117" s="26" t="str">
        <f t="shared" si="7"/>
        <v>Hom</v>
      </c>
      <c r="O117" s="26" t="str">
        <f t="shared" si="8"/>
        <v>e Applia</v>
      </c>
      <c r="P117" s="27" t="str">
        <f t="shared" si="9"/>
        <v>liances</v>
      </c>
      <c r="Q117" s="27" t="str">
        <f t="shared" si="10"/>
        <v>Home Appliwordnces</v>
      </c>
      <c r="R117" s="27" t="str">
        <f t="shared" si="11"/>
        <v>positionme Appliances</v>
      </c>
      <c r="S117" s="27" t="str">
        <f t="shared" si="12"/>
        <v>10116-Home Appliances-(Asia)</v>
      </c>
      <c r="T117" s="27"/>
    </row>
    <row r="118" spans="1:20" x14ac:dyDescent="0.35">
      <c r="A118" s="4">
        <v>10117</v>
      </c>
      <c r="B118" s="5">
        <v>45408</v>
      </c>
      <c r="C118" s="6" t="s">
        <v>17</v>
      </c>
      <c r="D118" s="6" t="s">
        <v>137</v>
      </c>
      <c r="E118" s="6">
        <v>3</v>
      </c>
      <c r="F118" s="6">
        <v>49.99</v>
      </c>
      <c r="G118" s="6">
        <v>149.97</v>
      </c>
      <c r="H118" s="6" t="s">
        <v>19</v>
      </c>
      <c r="I118" s="7" t="s">
        <v>20</v>
      </c>
      <c r="J118" s="22">
        <f>(Table1[[#This Row],[Total Revenue]] * 0.18) + Table1[[#This Row],[Total Revenue]]</f>
        <v>176.96459999999999</v>
      </c>
      <c r="K118" s="6" t="str">
        <f>TRIM(Table1[[#This Row],[Product Name]])</f>
        <v>Gap High Rise Skinny Jeans</v>
      </c>
      <c r="L118" s="6" t="str">
        <f>UPPER(Table1[[#This Row],[Trimmed words]])</f>
        <v>GAP HIGH RISE SKINNY JEANS</v>
      </c>
      <c r="M118" s="26" t="str">
        <f>LOWER(Table1[[#This Row],[Upper function]])</f>
        <v>gap high rise skinny jeans</v>
      </c>
      <c r="N118" s="26" t="str">
        <f t="shared" si="7"/>
        <v>Clo</v>
      </c>
      <c r="O118" s="26" t="str">
        <f t="shared" si="8"/>
        <v>thing</v>
      </c>
      <c r="P118" s="27" t="str">
        <f t="shared" si="9"/>
        <v>lothing</v>
      </c>
      <c r="Q118" s="27" t="str">
        <f t="shared" si="10"/>
        <v>Clothing</v>
      </c>
      <c r="R118" s="27" t="str">
        <f t="shared" si="11"/>
        <v>positionothing</v>
      </c>
      <c r="S118" s="27" t="str">
        <f t="shared" si="12"/>
        <v>10117-Clothing-(North America)</v>
      </c>
      <c r="T118" s="27"/>
    </row>
    <row r="119" spans="1:20" x14ac:dyDescent="0.35">
      <c r="A119" s="4">
        <v>10118</v>
      </c>
      <c r="B119" s="5">
        <v>45409</v>
      </c>
      <c r="C119" s="6" t="s">
        <v>21</v>
      </c>
      <c r="D119" s="6" t="s">
        <v>138</v>
      </c>
      <c r="E119" s="6">
        <v>4</v>
      </c>
      <c r="F119" s="6">
        <v>16.989999999999998</v>
      </c>
      <c r="G119" s="6">
        <v>67.959999999999994</v>
      </c>
      <c r="H119" s="6" t="s">
        <v>11</v>
      </c>
      <c r="I119" s="7" t="s">
        <v>12</v>
      </c>
      <c r="J119" s="22">
        <f>(Table1[[#This Row],[Total Revenue]] * 0.18) + Table1[[#This Row],[Total Revenue]]</f>
        <v>80.192799999999991</v>
      </c>
      <c r="K119" s="6" t="str">
        <f>TRIM(Table1[[#This Row],[Product Name]])</f>
        <v>Atomic Habits by James Clear</v>
      </c>
      <c r="L119" s="6" t="str">
        <f>UPPER(Table1[[#This Row],[Trimmed words]])</f>
        <v>ATOMIC HABITS BY JAMES CLEAR</v>
      </c>
      <c r="M119" s="26" t="str">
        <f>LOWER(Table1[[#This Row],[Upper function]])</f>
        <v>atomic habits by james clear</v>
      </c>
      <c r="N119" s="26" t="str">
        <f t="shared" si="7"/>
        <v>Boo</v>
      </c>
      <c r="O119" s="26" t="str">
        <f t="shared" si="8"/>
        <v>ks</v>
      </c>
      <c r="P119" s="27" t="str">
        <f t="shared" si="9"/>
        <v>Books</v>
      </c>
      <c r="Q119" s="27" t="str">
        <f t="shared" si="10"/>
        <v>Books</v>
      </c>
      <c r="R119" s="27" t="str">
        <f t="shared" si="11"/>
        <v>positionoks</v>
      </c>
      <c r="S119" s="27" t="str">
        <f t="shared" si="12"/>
        <v>10118-Books-(Europe)</v>
      </c>
      <c r="T119" s="27"/>
    </row>
    <row r="120" spans="1:20" x14ac:dyDescent="0.35">
      <c r="A120" s="4">
        <v>10119</v>
      </c>
      <c r="B120" s="5">
        <v>45410</v>
      </c>
      <c r="C120" s="6" t="s">
        <v>23</v>
      </c>
      <c r="D120" s="6" t="s">
        <v>139</v>
      </c>
      <c r="E120" s="6">
        <v>2</v>
      </c>
      <c r="F120" s="6">
        <v>14.99</v>
      </c>
      <c r="G120" s="6">
        <v>29.98</v>
      </c>
      <c r="H120" s="6" t="s">
        <v>15</v>
      </c>
      <c r="I120" s="7" t="s">
        <v>16</v>
      </c>
      <c r="J120" s="22">
        <f>(Table1[[#This Row],[Total Revenue]] * 0.18) + Table1[[#This Row],[Total Revenue]]</f>
        <v>35.376400000000004</v>
      </c>
      <c r="K120" s="6" t="str">
        <f>TRIM(Table1[[#This Row],[Product Name]])</f>
        <v>CeraVe Hydrating Facial Cleanser</v>
      </c>
      <c r="L120" s="6" t="str">
        <f>UPPER(Table1[[#This Row],[Trimmed words]])</f>
        <v>CERAVE HYDRATING FACIAL CLEANSER</v>
      </c>
      <c r="M120" s="26" t="str">
        <f>LOWER(Table1[[#This Row],[Upper function]])</f>
        <v>cerave hydrating facial cleanser</v>
      </c>
      <c r="N120" s="26" t="str">
        <f t="shared" si="7"/>
        <v>Bea</v>
      </c>
      <c r="O120" s="26" t="str">
        <f t="shared" si="8"/>
        <v>uty Prod</v>
      </c>
      <c r="P120" s="27" t="str">
        <f t="shared" si="9"/>
        <v>roducts</v>
      </c>
      <c r="Q120" s="27" t="str">
        <f t="shared" si="10"/>
        <v>Beworduty Products</v>
      </c>
      <c r="R120" s="27" t="str">
        <f t="shared" si="11"/>
        <v>positionauty Products</v>
      </c>
      <c r="S120" s="27" t="str">
        <f t="shared" si="12"/>
        <v>10119-Beauty Products-(Asia)</v>
      </c>
      <c r="T120" s="27"/>
    </row>
    <row r="121" spans="1:20" x14ac:dyDescent="0.35">
      <c r="A121" s="4">
        <v>10120</v>
      </c>
      <c r="B121" s="5">
        <v>45411</v>
      </c>
      <c r="C121" s="6" t="s">
        <v>25</v>
      </c>
      <c r="D121" s="6" t="s">
        <v>140</v>
      </c>
      <c r="E121" s="6">
        <v>1</v>
      </c>
      <c r="F121" s="6">
        <v>249.99</v>
      </c>
      <c r="G121" s="6">
        <v>249.99</v>
      </c>
      <c r="H121" s="6" t="s">
        <v>19</v>
      </c>
      <c r="I121" s="7" t="s">
        <v>12</v>
      </c>
      <c r="J121" s="22">
        <f>(Table1[[#This Row],[Total Revenue]] * 0.18) + Table1[[#This Row],[Total Revenue]]</f>
        <v>294.98820000000001</v>
      </c>
      <c r="K121" s="6" t="str">
        <f>TRIM(Table1[[#This Row],[Product Name]])</f>
        <v>YETI Hopper Flip Portable Cooler</v>
      </c>
      <c r="L121" s="6" t="str">
        <f>UPPER(Table1[[#This Row],[Trimmed words]])</f>
        <v>YETI HOPPER FLIP PORTABLE COOLER</v>
      </c>
      <c r="M121" s="26" t="str">
        <f>LOWER(Table1[[#This Row],[Upper function]])</f>
        <v>yeti hopper flip portable cooler</v>
      </c>
      <c r="N121" s="26" t="str">
        <f t="shared" si="7"/>
        <v>Spo</v>
      </c>
      <c r="O121" s="26" t="str">
        <f t="shared" si="8"/>
        <v>rts</v>
      </c>
      <c r="P121" s="27" t="str">
        <f t="shared" si="9"/>
        <v>Sports</v>
      </c>
      <c r="Q121" s="27" t="str">
        <f t="shared" si="10"/>
        <v>Sports</v>
      </c>
      <c r="R121" s="27" t="str">
        <f t="shared" si="11"/>
        <v>positionorts</v>
      </c>
      <c r="S121" s="27" t="str">
        <f t="shared" si="12"/>
        <v>10120-Sports-(North America)</v>
      </c>
      <c r="T121" s="27"/>
    </row>
    <row r="122" spans="1:20" x14ac:dyDescent="0.35">
      <c r="A122" s="4">
        <v>10121</v>
      </c>
      <c r="B122" s="5">
        <v>45412</v>
      </c>
      <c r="C122" s="6" t="s">
        <v>9</v>
      </c>
      <c r="D122" s="6" t="s">
        <v>141</v>
      </c>
      <c r="E122" s="6">
        <v>2</v>
      </c>
      <c r="F122" s="6">
        <v>599.99</v>
      </c>
      <c r="G122" s="6">
        <v>1199.98</v>
      </c>
      <c r="H122" s="6" t="s">
        <v>11</v>
      </c>
      <c r="I122" s="7" t="s">
        <v>12</v>
      </c>
      <c r="J122" s="22">
        <f>(Table1[[#This Row],[Total Revenue]] * 0.18) + Table1[[#This Row],[Total Revenue]]</f>
        <v>1415.9764</v>
      </c>
      <c r="K122" s="6" t="str">
        <f>TRIM(Table1[[#This Row],[Product Name]])</f>
        <v>Apple iPad Air</v>
      </c>
      <c r="L122" s="6" t="str">
        <f>UPPER(Table1[[#This Row],[Trimmed words]])</f>
        <v>APPLE IPAD AIR</v>
      </c>
      <c r="M122" s="26" t="str">
        <f>LOWER(Table1[[#This Row],[Upper function]])</f>
        <v>apple ipad air</v>
      </c>
      <c r="N122" s="26" t="str">
        <f t="shared" si="7"/>
        <v>Ele</v>
      </c>
      <c r="O122" s="26" t="str">
        <f t="shared" si="8"/>
        <v>ctronics</v>
      </c>
      <c r="P122" s="27" t="str">
        <f t="shared" si="9"/>
        <v>tronics</v>
      </c>
      <c r="Q122" s="27" t="str">
        <f t="shared" si="10"/>
        <v>Electronics</v>
      </c>
      <c r="R122" s="27" t="str">
        <f t="shared" si="11"/>
        <v>positionectronics</v>
      </c>
      <c r="S122" s="27" t="str">
        <f t="shared" si="12"/>
        <v>10121-Electronics-(Europe)</v>
      </c>
      <c r="T122" s="27"/>
    </row>
    <row r="123" spans="1:20" x14ac:dyDescent="0.35">
      <c r="A123" s="4">
        <v>10122</v>
      </c>
      <c r="B123" s="5">
        <v>45413</v>
      </c>
      <c r="C123" s="6" t="s">
        <v>13</v>
      </c>
      <c r="D123" s="6" t="s">
        <v>142</v>
      </c>
      <c r="E123" s="6">
        <v>1</v>
      </c>
      <c r="F123" s="6">
        <v>89.99</v>
      </c>
      <c r="G123" s="6">
        <v>89.99</v>
      </c>
      <c r="H123" s="6" t="s">
        <v>15</v>
      </c>
      <c r="I123" s="7" t="s">
        <v>16</v>
      </c>
      <c r="J123" s="22">
        <f>(Table1[[#This Row],[Total Revenue]] * 0.18) + Table1[[#This Row],[Total Revenue]]</f>
        <v>106.18819999999999</v>
      </c>
      <c r="K123" s="6" t="str">
        <f>TRIM(Table1[[#This Row],[Product Name]])</f>
        <v>Hamilton Beach FlexBrew Coffee Maker</v>
      </c>
      <c r="L123" s="6" t="str">
        <f>UPPER(Table1[[#This Row],[Trimmed words]])</f>
        <v>HAMILTON BEACH FLEXBREW COFFEE MAKER</v>
      </c>
      <c r="M123" s="26" t="str">
        <f>LOWER(Table1[[#This Row],[Upper function]])</f>
        <v>hamilton beach flexbrew coffee maker</v>
      </c>
      <c r="N123" s="26" t="str">
        <f t="shared" si="7"/>
        <v>Hom</v>
      </c>
      <c r="O123" s="26" t="str">
        <f t="shared" si="8"/>
        <v>e Applia</v>
      </c>
      <c r="P123" s="27" t="str">
        <f t="shared" si="9"/>
        <v>liances</v>
      </c>
      <c r="Q123" s="27" t="str">
        <f t="shared" si="10"/>
        <v>Home Appliwordnces</v>
      </c>
      <c r="R123" s="27" t="str">
        <f t="shared" si="11"/>
        <v>positionme Appliances</v>
      </c>
      <c r="S123" s="27" t="str">
        <f t="shared" si="12"/>
        <v>10122-Home Appliances-(Asia)</v>
      </c>
      <c r="T123" s="27"/>
    </row>
    <row r="124" spans="1:20" x14ac:dyDescent="0.35">
      <c r="A124" s="4">
        <v>10123</v>
      </c>
      <c r="B124" s="5">
        <v>45414</v>
      </c>
      <c r="C124" s="6" t="s">
        <v>17</v>
      </c>
      <c r="D124" s="6" t="s">
        <v>143</v>
      </c>
      <c r="E124" s="6">
        <v>5</v>
      </c>
      <c r="F124" s="6">
        <v>12.99</v>
      </c>
      <c r="G124" s="6">
        <v>64.95</v>
      </c>
      <c r="H124" s="6" t="s">
        <v>19</v>
      </c>
      <c r="I124" s="7" t="s">
        <v>20</v>
      </c>
      <c r="J124" s="22">
        <f>(Table1[[#This Row],[Total Revenue]] * 0.18) + Table1[[#This Row],[Total Revenue]]</f>
        <v>76.641000000000005</v>
      </c>
      <c r="K124" s="6" t="str">
        <f>TRIM(Table1[[#This Row],[Product Name]])</f>
        <v>Forever 21 Graphic Tee</v>
      </c>
      <c r="L124" s="6" t="str">
        <f>UPPER(Table1[[#This Row],[Trimmed words]])</f>
        <v>FOREVER 21 GRAPHIC TEE</v>
      </c>
      <c r="M124" s="26" t="str">
        <f>LOWER(Table1[[#This Row],[Upper function]])</f>
        <v>forever 21 graphic tee</v>
      </c>
      <c r="N124" s="26" t="str">
        <f t="shared" si="7"/>
        <v>Clo</v>
      </c>
      <c r="O124" s="26" t="str">
        <f t="shared" si="8"/>
        <v>thing</v>
      </c>
      <c r="P124" s="27" t="str">
        <f t="shared" si="9"/>
        <v>lothing</v>
      </c>
      <c r="Q124" s="27" t="str">
        <f t="shared" si="10"/>
        <v>Clothing</v>
      </c>
      <c r="R124" s="27" t="str">
        <f t="shared" si="11"/>
        <v>positionothing</v>
      </c>
      <c r="S124" s="27" t="str">
        <f t="shared" si="12"/>
        <v>10123-Clothing-(North America)</v>
      </c>
      <c r="T124" s="27"/>
    </row>
    <row r="125" spans="1:20" x14ac:dyDescent="0.35">
      <c r="A125" s="4">
        <v>10124</v>
      </c>
      <c r="B125" s="5">
        <v>45415</v>
      </c>
      <c r="C125" s="6" t="s">
        <v>21</v>
      </c>
      <c r="D125" s="6" t="s">
        <v>144</v>
      </c>
      <c r="E125" s="6">
        <v>3</v>
      </c>
      <c r="F125" s="6">
        <v>14.99</v>
      </c>
      <c r="G125" s="6">
        <v>44.97</v>
      </c>
      <c r="H125" s="6" t="s">
        <v>11</v>
      </c>
      <c r="I125" s="7" t="s">
        <v>12</v>
      </c>
      <c r="J125" s="22">
        <f>(Table1[[#This Row],[Total Revenue]] * 0.18) + Table1[[#This Row],[Total Revenue]]</f>
        <v>53.064599999999999</v>
      </c>
      <c r="K125" s="6" t="str">
        <f>TRIM(Table1[[#This Row],[Product Name]])</f>
        <v>The Subtle Art of Not Giving a F*ck by Mark Manson</v>
      </c>
      <c r="L125" s="6" t="str">
        <f>UPPER(Table1[[#This Row],[Trimmed words]])</f>
        <v>THE SUBTLE ART OF NOT GIVING A F*CK BY MARK MANSON</v>
      </c>
      <c r="M125" s="26" t="str">
        <f>LOWER(Table1[[#This Row],[Upper function]])</f>
        <v>the subtle art of not giving a f*ck by mark manson</v>
      </c>
      <c r="N125" s="26" t="str">
        <f t="shared" si="7"/>
        <v>Boo</v>
      </c>
      <c r="O125" s="26" t="str">
        <f t="shared" si="8"/>
        <v>ks</v>
      </c>
      <c r="P125" s="27" t="str">
        <f t="shared" si="9"/>
        <v>Books</v>
      </c>
      <c r="Q125" s="27" t="str">
        <f t="shared" si="10"/>
        <v>Books</v>
      </c>
      <c r="R125" s="27" t="str">
        <f t="shared" si="11"/>
        <v>positionoks</v>
      </c>
      <c r="S125" s="27" t="str">
        <f t="shared" si="12"/>
        <v>10124-Books-(Europe)</v>
      </c>
      <c r="T125" s="27"/>
    </row>
    <row r="126" spans="1:20" x14ac:dyDescent="0.35">
      <c r="A126" s="4">
        <v>10125</v>
      </c>
      <c r="B126" s="5">
        <v>45416</v>
      </c>
      <c r="C126" s="6" t="s">
        <v>23</v>
      </c>
      <c r="D126" s="6" t="s">
        <v>145</v>
      </c>
      <c r="E126" s="6">
        <v>1</v>
      </c>
      <c r="F126" s="6">
        <v>30</v>
      </c>
      <c r="G126" s="6">
        <v>30</v>
      </c>
      <c r="H126" s="6" t="s">
        <v>15</v>
      </c>
      <c r="I126" s="7" t="s">
        <v>16</v>
      </c>
      <c r="J126" s="22">
        <f>(Table1[[#This Row],[Total Revenue]] * 0.18) + Table1[[#This Row],[Total Revenue]]</f>
        <v>35.4</v>
      </c>
      <c r="K126" s="6" t="str">
        <f>TRIM(Table1[[#This Row],[Product Name]])</f>
        <v>NARS Radiant Creamy Concealer</v>
      </c>
      <c r="L126" s="6" t="str">
        <f>UPPER(Table1[[#This Row],[Trimmed words]])</f>
        <v>NARS RADIANT CREAMY CONCEALER</v>
      </c>
      <c r="M126" s="26" t="str">
        <f>LOWER(Table1[[#This Row],[Upper function]])</f>
        <v>nars radiant creamy concealer</v>
      </c>
      <c r="N126" s="26" t="str">
        <f t="shared" si="7"/>
        <v>Bea</v>
      </c>
      <c r="O126" s="26" t="str">
        <f t="shared" si="8"/>
        <v>uty Prod</v>
      </c>
      <c r="P126" s="27" t="str">
        <f t="shared" si="9"/>
        <v>roducts</v>
      </c>
      <c r="Q126" s="27" t="str">
        <f t="shared" si="10"/>
        <v>Beworduty Products</v>
      </c>
      <c r="R126" s="27" t="str">
        <f t="shared" si="11"/>
        <v>positionauty Products</v>
      </c>
      <c r="S126" s="27" t="str">
        <f t="shared" si="12"/>
        <v>10125-Beauty Products-(Asia)</v>
      </c>
      <c r="T126" s="27"/>
    </row>
    <row r="127" spans="1:20" x14ac:dyDescent="0.35">
      <c r="A127" s="4">
        <v>10126</v>
      </c>
      <c r="B127" s="5">
        <v>45417</v>
      </c>
      <c r="C127" s="6" t="s">
        <v>25</v>
      </c>
      <c r="D127" s="6" t="s">
        <v>146</v>
      </c>
      <c r="E127" s="6">
        <v>1</v>
      </c>
      <c r="F127" s="6">
        <v>199.99</v>
      </c>
      <c r="G127" s="6">
        <v>199.99</v>
      </c>
      <c r="H127" s="6" t="s">
        <v>19</v>
      </c>
      <c r="I127" s="7" t="s">
        <v>12</v>
      </c>
      <c r="J127" s="22">
        <f>(Table1[[#This Row],[Total Revenue]] * 0.18) + Table1[[#This Row],[Total Revenue]]</f>
        <v>235.98820000000001</v>
      </c>
      <c r="K127" s="6" t="str">
        <f>TRIM(Table1[[#This Row],[Product Name]])</f>
        <v>Yeti Roadie 24 Cooler</v>
      </c>
      <c r="L127" s="6" t="str">
        <f>UPPER(Table1[[#This Row],[Trimmed words]])</f>
        <v>YETI ROADIE 24 COOLER</v>
      </c>
      <c r="M127" s="26" t="str">
        <f>LOWER(Table1[[#This Row],[Upper function]])</f>
        <v>yeti roadie 24 cooler</v>
      </c>
      <c r="N127" s="26" t="str">
        <f t="shared" si="7"/>
        <v>Spo</v>
      </c>
      <c r="O127" s="26" t="str">
        <f t="shared" si="8"/>
        <v>rts</v>
      </c>
      <c r="P127" s="27" t="str">
        <f t="shared" si="9"/>
        <v>Sports</v>
      </c>
      <c r="Q127" s="27" t="str">
        <f t="shared" si="10"/>
        <v>Sports</v>
      </c>
      <c r="R127" s="27" t="str">
        <f t="shared" si="11"/>
        <v>positionorts</v>
      </c>
      <c r="S127" s="27" t="str">
        <f t="shared" si="12"/>
        <v>10126-Sports-(North America)</v>
      </c>
      <c r="T127" s="27"/>
    </row>
    <row r="128" spans="1:20" x14ac:dyDescent="0.35">
      <c r="A128" s="4">
        <v>10127</v>
      </c>
      <c r="B128" s="5">
        <v>45418</v>
      </c>
      <c r="C128" s="6" t="s">
        <v>9</v>
      </c>
      <c r="D128" s="6" t="s">
        <v>147</v>
      </c>
      <c r="E128" s="6">
        <v>1</v>
      </c>
      <c r="F128" s="6">
        <v>499.99</v>
      </c>
      <c r="G128" s="6">
        <v>499.99</v>
      </c>
      <c r="H128" s="6" t="s">
        <v>11</v>
      </c>
      <c r="I128" s="7" t="s">
        <v>12</v>
      </c>
      <c r="J128" s="22">
        <f>(Table1[[#This Row],[Total Revenue]] * 0.18) + Table1[[#This Row],[Total Revenue]]</f>
        <v>589.98820000000001</v>
      </c>
      <c r="K128" s="6" t="str">
        <f>TRIM(Table1[[#This Row],[Product Name]])</f>
        <v>Sony PlayStation 5</v>
      </c>
      <c r="L128" s="6" t="str">
        <f>UPPER(Table1[[#This Row],[Trimmed words]])</f>
        <v>SONY PLAYSTATION 5</v>
      </c>
      <c r="M128" s="26" t="str">
        <f>LOWER(Table1[[#This Row],[Upper function]])</f>
        <v>sony playstation 5</v>
      </c>
      <c r="N128" s="26" t="str">
        <f t="shared" si="7"/>
        <v>Ele</v>
      </c>
      <c r="O128" s="26" t="str">
        <f t="shared" si="8"/>
        <v>ctronics</v>
      </c>
      <c r="P128" s="27" t="str">
        <f t="shared" si="9"/>
        <v>tronics</v>
      </c>
      <c r="Q128" s="27" t="str">
        <f t="shared" si="10"/>
        <v>Electronics</v>
      </c>
      <c r="R128" s="27" t="str">
        <f t="shared" si="11"/>
        <v>positionectronics</v>
      </c>
      <c r="S128" s="27" t="str">
        <f t="shared" si="12"/>
        <v>10127-Electronics-(Europe)</v>
      </c>
      <c r="T128" s="27"/>
    </row>
    <row r="129" spans="1:20" x14ac:dyDescent="0.35">
      <c r="A129" s="4">
        <v>10128</v>
      </c>
      <c r="B129" s="5">
        <v>45419</v>
      </c>
      <c r="C129" s="6" t="s">
        <v>13</v>
      </c>
      <c r="D129" s="6" t="s">
        <v>37</v>
      </c>
      <c r="E129" s="6">
        <v>2</v>
      </c>
      <c r="F129" s="6">
        <v>399.99</v>
      </c>
      <c r="G129" s="6">
        <v>799.98</v>
      </c>
      <c r="H129" s="6" t="s">
        <v>15</v>
      </c>
      <c r="I129" s="7" t="s">
        <v>16</v>
      </c>
      <c r="J129" s="22">
        <f>(Table1[[#This Row],[Total Revenue]] * 0.18) + Table1[[#This Row],[Total Revenue]]</f>
        <v>943.97640000000001</v>
      </c>
      <c r="K129" s="6" t="str">
        <f>TRIM(Table1[[#This Row],[Product Name]])</f>
        <v>Dyson Supersonic Hair Dryer</v>
      </c>
      <c r="L129" s="6" t="str">
        <f>UPPER(Table1[[#This Row],[Trimmed words]])</f>
        <v>DYSON SUPERSONIC HAIR DRYER</v>
      </c>
      <c r="M129" s="26" t="str">
        <f>LOWER(Table1[[#This Row],[Upper function]])</f>
        <v>dyson supersonic hair dryer</v>
      </c>
      <c r="N129" s="26" t="str">
        <f t="shared" si="7"/>
        <v>Hom</v>
      </c>
      <c r="O129" s="26" t="str">
        <f t="shared" si="8"/>
        <v>e Applia</v>
      </c>
      <c r="P129" s="27" t="str">
        <f t="shared" si="9"/>
        <v>liances</v>
      </c>
      <c r="Q129" s="27" t="str">
        <f t="shared" si="10"/>
        <v>Home Appliwordnces</v>
      </c>
      <c r="R129" s="27" t="str">
        <f t="shared" si="11"/>
        <v>positionme Appliances</v>
      </c>
      <c r="S129" s="27" t="str">
        <f t="shared" si="12"/>
        <v>10128-Home Appliances-(Asia)</v>
      </c>
      <c r="T129" s="27"/>
    </row>
    <row r="130" spans="1:20" x14ac:dyDescent="0.35">
      <c r="A130" s="4">
        <v>10129</v>
      </c>
      <c r="B130" s="5">
        <v>45420</v>
      </c>
      <c r="C130" s="6" t="s">
        <v>17</v>
      </c>
      <c r="D130" s="6" t="s">
        <v>148</v>
      </c>
      <c r="E130" s="6">
        <v>3</v>
      </c>
      <c r="F130" s="6">
        <v>98</v>
      </c>
      <c r="G130" s="6">
        <v>294</v>
      </c>
      <c r="H130" s="6" t="s">
        <v>19</v>
      </c>
      <c r="I130" s="7" t="s">
        <v>20</v>
      </c>
      <c r="J130" s="22">
        <f>(Table1[[#This Row],[Total Revenue]] * 0.18) + Table1[[#This Row],[Total Revenue]]</f>
        <v>346.92</v>
      </c>
      <c r="K130" s="6" t="str">
        <f>TRIM(Table1[[#This Row],[Product Name]])</f>
        <v>Lululemon Align Leggings</v>
      </c>
      <c r="L130" s="6" t="str">
        <f>UPPER(Table1[[#This Row],[Trimmed words]])</f>
        <v>LULULEMON ALIGN LEGGINGS</v>
      </c>
      <c r="M130" s="26" t="str">
        <f>LOWER(Table1[[#This Row],[Upper function]])</f>
        <v>lululemon align leggings</v>
      </c>
      <c r="N130" s="26" t="str">
        <f t="shared" ref="N130:N193" si="13">LEFT(C130, 3)</f>
        <v>Clo</v>
      </c>
      <c r="O130" s="26" t="str">
        <f t="shared" ref="O130:O193" si="14">MID(C130, 4, 8)</f>
        <v>thing</v>
      </c>
      <c r="P130" s="27" t="str">
        <f t="shared" ref="P130:P193" si="15">RIGHT(C130, 7)</f>
        <v>lothing</v>
      </c>
      <c r="Q130" s="27" t="str">
        <f t="shared" ref="Q130:Q193" si="16">SUBSTITUTE(C130, "a", "word")</f>
        <v>Clothing</v>
      </c>
      <c r="R130" s="27" t="str">
        <f t="shared" ref="R130:R193" si="17">REPLACE(C130, 1, 2, "position")</f>
        <v>positionothing</v>
      </c>
      <c r="S130" s="27" t="str">
        <f t="shared" ref="S130:S193" si="18">CONCATENATE(A130, "-", C130, "-", "(", H131, ")")</f>
        <v>10129-Clothing-(North America)</v>
      </c>
      <c r="T130" s="27"/>
    </row>
    <row r="131" spans="1:20" x14ac:dyDescent="0.35">
      <c r="A131" s="4">
        <v>10130</v>
      </c>
      <c r="B131" s="5">
        <v>45421</v>
      </c>
      <c r="C131" s="6" t="s">
        <v>21</v>
      </c>
      <c r="D131" s="6" t="s">
        <v>149</v>
      </c>
      <c r="E131" s="6">
        <v>2</v>
      </c>
      <c r="F131" s="6">
        <v>8.99</v>
      </c>
      <c r="G131" s="6">
        <v>17.98</v>
      </c>
      <c r="H131" s="6" t="s">
        <v>11</v>
      </c>
      <c r="I131" s="7" t="s">
        <v>12</v>
      </c>
      <c r="J131" s="22">
        <f>(Table1[[#This Row],[Total Revenue]] * 0.18) + Table1[[#This Row],[Total Revenue]]</f>
        <v>21.2164</v>
      </c>
      <c r="K131" s="6" t="str">
        <f>TRIM(Table1[[#This Row],[Product Name]])</f>
        <v>The Four Agreements by Don Miguel Ruiz</v>
      </c>
      <c r="L131" s="6" t="str">
        <f>UPPER(Table1[[#This Row],[Trimmed words]])</f>
        <v>THE FOUR AGREEMENTS BY DON MIGUEL RUIZ</v>
      </c>
      <c r="M131" s="26" t="str">
        <f>LOWER(Table1[[#This Row],[Upper function]])</f>
        <v>the four agreements by don miguel ruiz</v>
      </c>
      <c r="N131" s="26" t="str">
        <f t="shared" si="13"/>
        <v>Boo</v>
      </c>
      <c r="O131" s="26" t="str">
        <f t="shared" si="14"/>
        <v>ks</v>
      </c>
      <c r="P131" s="27" t="str">
        <f t="shared" si="15"/>
        <v>Books</v>
      </c>
      <c r="Q131" s="27" t="str">
        <f t="shared" si="16"/>
        <v>Books</v>
      </c>
      <c r="R131" s="27" t="str">
        <f t="shared" si="17"/>
        <v>positionoks</v>
      </c>
      <c r="S131" s="27" t="str">
        <f t="shared" si="18"/>
        <v>10130-Books-(Europe)</v>
      </c>
      <c r="T131" s="27"/>
    </row>
    <row r="132" spans="1:20" x14ac:dyDescent="0.35">
      <c r="A132" s="4">
        <v>10131</v>
      </c>
      <c r="B132" s="5">
        <v>45422</v>
      </c>
      <c r="C132" s="6" t="s">
        <v>23</v>
      </c>
      <c r="D132" s="6" t="s">
        <v>150</v>
      </c>
      <c r="E132" s="6">
        <v>1</v>
      </c>
      <c r="F132" s="6">
        <v>36</v>
      </c>
      <c r="G132" s="6">
        <v>36</v>
      </c>
      <c r="H132" s="6" t="s">
        <v>15</v>
      </c>
      <c r="I132" s="7" t="s">
        <v>16</v>
      </c>
      <c r="J132" s="22">
        <f>(Table1[[#This Row],[Total Revenue]] * 0.18) + Table1[[#This Row],[Total Revenue]]</f>
        <v>42.48</v>
      </c>
      <c r="K132" s="6" t="str">
        <f>TRIM(Table1[[#This Row],[Product Name]])</f>
        <v>Fenty Beauty Killawatt Highlighter</v>
      </c>
      <c r="L132" s="6" t="str">
        <f>UPPER(Table1[[#This Row],[Trimmed words]])</f>
        <v>FENTY BEAUTY KILLAWATT HIGHLIGHTER</v>
      </c>
      <c r="M132" s="26" t="str">
        <f>LOWER(Table1[[#This Row],[Upper function]])</f>
        <v>fenty beauty killawatt highlighter</v>
      </c>
      <c r="N132" s="26" t="str">
        <f t="shared" si="13"/>
        <v>Bea</v>
      </c>
      <c r="O132" s="26" t="str">
        <f t="shared" si="14"/>
        <v>uty Prod</v>
      </c>
      <c r="P132" s="27" t="str">
        <f t="shared" si="15"/>
        <v>roducts</v>
      </c>
      <c r="Q132" s="27" t="str">
        <f t="shared" si="16"/>
        <v>Beworduty Products</v>
      </c>
      <c r="R132" s="27" t="str">
        <f t="shared" si="17"/>
        <v>positionauty Products</v>
      </c>
      <c r="S132" s="27" t="str">
        <f t="shared" si="18"/>
        <v>10131-Beauty Products-(Asia)</v>
      </c>
      <c r="T132" s="27"/>
    </row>
    <row r="133" spans="1:20" x14ac:dyDescent="0.35">
      <c r="A133" s="4">
        <v>10132</v>
      </c>
      <c r="B133" s="5">
        <v>45423</v>
      </c>
      <c r="C133" s="6" t="s">
        <v>25</v>
      </c>
      <c r="D133" s="6" t="s">
        <v>151</v>
      </c>
      <c r="E133" s="6">
        <v>4</v>
      </c>
      <c r="F133" s="6">
        <v>39.950000000000003</v>
      </c>
      <c r="G133" s="6">
        <v>159.80000000000001</v>
      </c>
      <c r="H133" s="6" t="s">
        <v>19</v>
      </c>
      <c r="I133" s="7" t="s">
        <v>12</v>
      </c>
      <c r="J133" s="22">
        <f>(Table1[[#This Row],[Total Revenue]] * 0.18) + Table1[[#This Row],[Total Revenue]]</f>
        <v>188.56400000000002</v>
      </c>
      <c r="K133" s="6" t="str">
        <f>TRIM(Table1[[#This Row],[Product Name]])</f>
        <v>Hydro Flask Wide Mouth Water Bottle</v>
      </c>
      <c r="L133" s="6" t="str">
        <f>UPPER(Table1[[#This Row],[Trimmed words]])</f>
        <v>HYDRO FLASK WIDE MOUTH WATER BOTTLE</v>
      </c>
      <c r="M133" s="26" t="str">
        <f>LOWER(Table1[[#This Row],[Upper function]])</f>
        <v>hydro flask wide mouth water bottle</v>
      </c>
      <c r="N133" s="26" t="str">
        <f t="shared" si="13"/>
        <v>Spo</v>
      </c>
      <c r="O133" s="26" t="str">
        <f t="shared" si="14"/>
        <v>rts</v>
      </c>
      <c r="P133" s="27" t="str">
        <f t="shared" si="15"/>
        <v>Sports</v>
      </c>
      <c r="Q133" s="27" t="str">
        <f t="shared" si="16"/>
        <v>Sports</v>
      </c>
      <c r="R133" s="27" t="str">
        <f t="shared" si="17"/>
        <v>positionorts</v>
      </c>
      <c r="S133" s="27" t="str">
        <f t="shared" si="18"/>
        <v>10132-Sports-(North America)</v>
      </c>
      <c r="T133" s="27"/>
    </row>
    <row r="134" spans="1:20" x14ac:dyDescent="0.35">
      <c r="A134" s="4">
        <v>10133</v>
      </c>
      <c r="B134" s="5">
        <v>45424</v>
      </c>
      <c r="C134" s="6" t="s">
        <v>9</v>
      </c>
      <c r="D134" s="6" t="s">
        <v>152</v>
      </c>
      <c r="E134" s="6">
        <v>1</v>
      </c>
      <c r="F134" s="6">
        <v>1299.99</v>
      </c>
      <c r="G134" s="6">
        <v>1299.99</v>
      </c>
      <c r="H134" s="6" t="s">
        <v>11</v>
      </c>
      <c r="I134" s="7" t="s">
        <v>12</v>
      </c>
      <c r="J134" s="22">
        <f>(Table1[[#This Row],[Total Revenue]] * 0.18) + Table1[[#This Row],[Total Revenue]]</f>
        <v>1533.9882</v>
      </c>
      <c r="K134" s="6" t="str">
        <f>TRIM(Table1[[#This Row],[Product Name]])</f>
        <v>Microsoft Surface Laptop 4</v>
      </c>
      <c r="L134" s="6" t="str">
        <f>UPPER(Table1[[#This Row],[Trimmed words]])</f>
        <v>MICROSOFT SURFACE LAPTOP 4</v>
      </c>
      <c r="M134" s="26" t="str">
        <f>LOWER(Table1[[#This Row],[Upper function]])</f>
        <v>microsoft surface laptop 4</v>
      </c>
      <c r="N134" s="26" t="str">
        <f t="shared" si="13"/>
        <v>Ele</v>
      </c>
      <c r="O134" s="26" t="str">
        <f t="shared" si="14"/>
        <v>ctronics</v>
      </c>
      <c r="P134" s="27" t="str">
        <f t="shared" si="15"/>
        <v>tronics</v>
      </c>
      <c r="Q134" s="27" t="str">
        <f t="shared" si="16"/>
        <v>Electronics</v>
      </c>
      <c r="R134" s="27" t="str">
        <f t="shared" si="17"/>
        <v>positionectronics</v>
      </c>
      <c r="S134" s="27" t="str">
        <f t="shared" si="18"/>
        <v>10133-Electronics-(Europe)</v>
      </c>
      <c r="T134" s="27"/>
    </row>
    <row r="135" spans="1:20" x14ac:dyDescent="0.35">
      <c r="A135" s="4">
        <v>10134</v>
      </c>
      <c r="B135" s="5">
        <v>45425</v>
      </c>
      <c r="C135" s="6" t="s">
        <v>13</v>
      </c>
      <c r="D135" s="6" t="s">
        <v>153</v>
      </c>
      <c r="E135" s="6">
        <v>2</v>
      </c>
      <c r="F135" s="6">
        <v>79.989999999999995</v>
      </c>
      <c r="G135" s="6">
        <v>159.97999999999999</v>
      </c>
      <c r="H135" s="6" t="s">
        <v>15</v>
      </c>
      <c r="I135" s="7" t="s">
        <v>16</v>
      </c>
      <c r="J135" s="22">
        <f>(Table1[[#This Row],[Total Revenue]] * 0.18) + Table1[[#This Row],[Total Revenue]]</f>
        <v>188.7764</v>
      </c>
      <c r="K135" s="6" t="str">
        <f>TRIM(Table1[[#This Row],[Product Name]])</f>
        <v>Keurig K-Mini Coffee Maker</v>
      </c>
      <c r="L135" s="6" t="str">
        <f>UPPER(Table1[[#This Row],[Trimmed words]])</f>
        <v>KEURIG K-MINI COFFEE MAKER</v>
      </c>
      <c r="M135" s="26" t="str">
        <f>LOWER(Table1[[#This Row],[Upper function]])</f>
        <v>keurig k-mini coffee maker</v>
      </c>
      <c r="N135" s="26" t="str">
        <f t="shared" si="13"/>
        <v>Hom</v>
      </c>
      <c r="O135" s="26" t="str">
        <f t="shared" si="14"/>
        <v>e Applia</v>
      </c>
      <c r="P135" s="27" t="str">
        <f t="shared" si="15"/>
        <v>liances</v>
      </c>
      <c r="Q135" s="27" t="str">
        <f t="shared" si="16"/>
        <v>Home Appliwordnces</v>
      </c>
      <c r="R135" s="27" t="str">
        <f t="shared" si="17"/>
        <v>positionme Appliances</v>
      </c>
      <c r="S135" s="27" t="str">
        <f t="shared" si="18"/>
        <v>10134-Home Appliances-(Asia)</v>
      </c>
      <c r="T135" s="27"/>
    </row>
    <row r="136" spans="1:20" x14ac:dyDescent="0.35">
      <c r="A136" s="4">
        <v>10135</v>
      </c>
      <c r="B136" s="5">
        <v>45426</v>
      </c>
      <c r="C136" s="6" t="s">
        <v>17</v>
      </c>
      <c r="D136" s="6" t="s">
        <v>154</v>
      </c>
      <c r="E136" s="6">
        <v>4</v>
      </c>
      <c r="F136" s="6">
        <v>34.99</v>
      </c>
      <c r="G136" s="6">
        <v>139.96</v>
      </c>
      <c r="H136" s="6" t="s">
        <v>19</v>
      </c>
      <c r="I136" s="7" t="s">
        <v>20</v>
      </c>
      <c r="J136" s="22">
        <f>(Table1[[#This Row],[Total Revenue]] * 0.18) + Table1[[#This Row],[Total Revenue]]</f>
        <v>165.15280000000001</v>
      </c>
      <c r="K136" s="6" t="str">
        <f>TRIM(Table1[[#This Row],[Product Name]])</f>
        <v>Gap Crewneck Sweatshirt</v>
      </c>
      <c r="L136" s="6" t="str">
        <f>UPPER(Table1[[#This Row],[Trimmed words]])</f>
        <v>GAP CREWNECK SWEATSHIRT</v>
      </c>
      <c r="M136" s="26" t="str">
        <f>LOWER(Table1[[#This Row],[Upper function]])</f>
        <v>gap crewneck sweatshirt</v>
      </c>
      <c r="N136" s="26" t="str">
        <f t="shared" si="13"/>
        <v>Clo</v>
      </c>
      <c r="O136" s="26" t="str">
        <f t="shared" si="14"/>
        <v>thing</v>
      </c>
      <c r="P136" s="27" t="str">
        <f t="shared" si="15"/>
        <v>lothing</v>
      </c>
      <c r="Q136" s="27" t="str">
        <f t="shared" si="16"/>
        <v>Clothing</v>
      </c>
      <c r="R136" s="27" t="str">
        <f t="shared" si="17"/>
        <v>positionothing</v>
      </c>
      <c r="S136" s="27" t="str">
        <f t="shared" si="18"/>
        <v>10135-Clothing-(North America)</v>
      </c>
      <c r="T136" s="27"/>
    </row>
    <row r="137" spans="1:20" x14ac:dyDescent="0.35">
      <c r="A137" s="4">
        <v>10136</v>
      </c>
      <c r="B137" s="5">
        <v>45427</v>
      </c>
      <c r="C137" s="6" t="s">
        <v>21</v>
      </c>
      <c r="D137" s="6" t="s">
        <v>155</v>
      </c>
      <c r="E137" s="6">
        <v>3</v>
      </c>
      <c r="F137" s="6">
        <v>9.99</v>
      </c>
      <c r="G137" s="6">
        <v>29.97</v>
      </c>
      <c r="H137" s="6" t="s">
        <v>11</v>
      </c>
      <c r="I137" s="7" t="s">
        <v>12</v>
      </c>
      <c r="J137" s="22">
        <f>(Table1[[#This Row],[Total Revenue]] * 0.18) + Table1[[#This Row],[Total Revenue]]</f>
        <v>35.364599999999996</v>
      </c>
      <c r="K137" s="6" t="str">
        <f>TRIM(Table1[[#This Row],[Product Name]])</f>
        <v>Think and Grow Rich by Napoleon Hill</v>
      </c>
      <c r="L137" s="6" t="str">
        <f>UPPER(Table1[[#This Row],[Trimmed words]])</f>
        <v>THINK AND GROW RICH BY NAPOLEON HILL</v>
      </c>
      <c r="M137" s="26" t="str">
        <f>LOWER(Table1[[#This Row],[Upper function]])</f>
        <v>think and grow rich by napoleon hill</v>
      </c>
      <c r="N137" s="26" t="str">
        <f t="shared" si="13"/>
        <v>Boo</v>
      </c>
      <c r="O137" s="26" t="str">
        <f t="shared" si="14"/>
        <v>ks</v>
      </c>
      <c r="P137" s="27" t="str">
        <f t="shared" si="15"/>
        <v>Books</v>
      </c>
      <c r="Q137" s="27" t="str">
        <f t="shared" si="16"/>
        <v>Books</v>
      </c>
      <c r="R137" s="27" t="str">
        <f t="shared" si="17"/>
        <v>positionoks</v>
      </c>
      <c r="S137" s="27" t="str">
        <f t="shared" si="18"/>
        <v>10136-Books-(Europe)</v>
      </c>
      <c r="T137" s="27"/>
    </row>
    <row r="138" spans="1:20" x14ac:dyDescent="0.35">
      <c r="A138" s="4">
        <v>10137</v>
      </c>
      <c r="B138" s="5">
        <v>45428</v>
      </c>
      <c r="C138" s="6" t="s">
        <v>23</v>
      </c>
      <c r="D138" s="6" t="s">
        <v>156</v>
      </c>
      <c r="E138" s="6">
        <v>1</v>
      </c>
      <c r="F138" s="6">
        <v>6.8</v>
      </c>
      <c r="G138" s="6">
        <v>6.8</v>
      </c>
      <c r="H138" s="6" t="s">
        <v>15</v>
      </c>
      <c r="I138" s="7" t="s">
        <v>16</v>
      </c>
      <c r="J138" s="22">
        <f>(Table1[[#This Row],[Total Revenue]] * 0.18) + Table1[[#This Row],[Total Revenue]]</f>
        <v>8.0239999999999991</v>
      </c>
      <c r="K138" s="6" t="str">
        <f>TRIM(Table1[[#This Row],[Product Name]])</f>
        <v>The Ordinary Hyaluronic Acid Serum</v>
      </c>
      <c r="L138" s="6" t="str">
        <f>UPPER(Table1[[#This Row],[Trimmed words]])</f>
        <v>THE ORDINARY HYALURONIC ACID SERUM</v>
      </c>
      <c r="M138" s="26" t="str">
        <f>LOWER(Table1[[#This Row],[Upper function]])</f>
        <v>the ordinary hyaluronic acid serum</v>
      </c>
      <c r="N138" s="26" t="str">
        <f t="shared" si="13"/>
        <v>Bea</v>
      </c>
      <c r="O138" s="26" t="str">
        <f t="shared" si="14"/>
        <v>uty Prod</v>
      </c>
      <c r="P138" s="27" t="str">
        <f t="shared" si="15"/>
        <v>roducts</v>
      </c>
      <c r="Q138" s="27" t="str">
        <f t="shared" si="16"/>
        <v>Beworduty Products</v>
      </c>
      <c r="R138" s="27" t="str">
        <f t="shared" si="17"/>
        <v>positionauty Products</v>
      </c>
      <c r="S138" s="27" t="str">
        <f t="shared" si="18"/>
        <v>10137-Beauty Products-(Asia)</v>
      </c>
      <c r="T138" s="27"/>
    </row>
    <row r="139" spans="1:20" x14ac:dyDescent="0.35">
      <c r="A139" s="4">
        <v>10138</v>
      </c>
      <c r="B139" s="5">
        <v>45429</v>
      </c>
      <c r="C139" s="6" t="s">
        <v>25</v>
      </c>
      <c r="D139" s="6" t="s">
        <v>157</v>
      </c>
      <c r="E139" s="6">
        <v>2</v>
      </c>
      <c r="F139" s="6">
        <v>99.95</v>
      </c>
      <c r="G139" s="6">
        <v>199.9</v>
      </c>
      <c r="H139" s="6" t="s">
        <v>19</v>
      </c>
      <c r="I139" s="7" t="s">
        <v>12</v>
      </c>
      <c r="J139" s="22">
        <f>(Table1[[#This Row],[Total Revenue]] * 0.18) + Table1[[#This Row],[Total Revenue]]</f>
        <v>235.88200000000001</v>
      </c>
      <c r="K139" s="6" t="str">
        <f>TRIM(Table1[[#This Row],[Product Name]])</f>
        <v>Fitbit Inspire 2</v>
      </c>
      <c r="L139" s="6" t="str">
        <f>UPPER(Table1[[#This Row],[Trimmed words]])</f>
        <v>FITBIT INSPIRE 2</v>
      </c>
      <c r="M139" s="26" t="str">
        <f>LOWER(Table1[[#This Row],[Upper function]])</f>
        <v>fitbit inspire 2</v>
      </c>
      <c r="N139" s="26" t="str">
        <f t="shared" si="13"/>
        <v>Spo</v>
      </c>
      <c r="O139" s="26" t="str">
        <f t="shared" si="14"/>
        <v>rts</v>
      </c>
      <c r="P139" s="27" t="str">
        <f t="shared" si="15"/>
        <v>Sports</v>
      </c>
      <c r="Q139" s="27" t="str">
        <f t="shared" si="16"/>
        <v>Sports</v>
      </c>
      <c r="R139" s="27" t="str">
        <f t="shared" si="17"/>
        <v>positionorts</v>
      </c>
      <c r="S139" s="27" t="str">
        <f t="shared" si="18"/>
        <v>10138-Sports-(North America)</v>
      </c>
      <c r="T139" s="27"/>
    </row>
    <row r="140" spans="1:20" x14ac:dyDescent="0.35">
      <c r="A140" s="4">
        <v>10139</v>
      </c>
      <c r="B140" s="5">
        <v>45430</v>
      </c>
      <c r="C140" s="6" t="s">
        <v>9</v>
      </c>
      <c r="D140" s="6" t="s">
        <v>158</v>
      </c>
      <c r="E140" s="6">
        <v>1</v>
      </c>
      <c r="F140" s="6">
        <v>1499.99</v>
      </c>
      <c r="G140" s="6">
        <v>1499.99</v>
      </c>
      <c r="H140" s="6" t="s">
        <v>11</v>
      </c>
      <c r="I140" s="7" t="s">
        <v>12</v>
      </c>
      <c r="J140" s="22">
        <f>(Table1[[#This Row],[Total Revenue]] * 0.18) + Table1[[#This Row],[Total Revenue]]</f>
        <v>1769.9882</v>
      </c>
      <c r="K140" s="6" t="str">
        <f>TRIM(Table1[[#This Row],[Product Name]])</f>
        <v>Samsung Odyssey G9 Gaming Monitor</v>
      </c>
      <c r="L140" s="6" t="str">
        <f>UPPER(Table1[[#This Row],[Trimmed words]])</f>
        <v>SAMSUNG ODYSSEY G9 GAMING MONITOR</v>
      </c>
      <c r="M140" s="26" t="str">
        <f>LOWER(Table1[[#This Row],[Upper function]])</f>
        <v>samsung odyssey g9 gaming monitor</v>
      </c>
      <c r="N140" s="26" t="str">
        <f t="shared" si="13"/>
        <v>Ele</v>
      </c>
      <c r="O140" s="26" t="str">
        <f t="shared" si="14"/>
        <v>ctronics</v>
      </c>
      <c r="P140" s="27" t="str">
        <f t="shared" si="15"/>
        <v>tronics</v>
      </c>
      <c r="Q140" s="27" t="str">
        <f t="shared" si="16"/>
        <v>Electronics</v>
      </c>
      <c r="R140" s="27" t="str">
        <f t="shared" si="17"/>
        <v>positionectronics</v>
      </c>
      <c r="S140" s="27" t="str">
        <f t="shared" si="18"/>
        <v>10139-Electronics-(Europe)</v>
      </c>
      <c r="T140" s="27"/>
    </row>
    <row r="141" spans="1:20" x14ac:dyDescent="0.35">
      <c r="A141" s="4">
        <v>10140</v>
      </c>
      <c r="B141" s="5">
        <v>45431</v>
      </c>
      <c r="C141" s="6" t="s">
        <v>13</v>
      </c>
      <c r="D141" s="6" t="s">
        <v>159</v>
      </c>
      <c r="E141" s="6">
        <v>1</v>
      </c>
      <c r="F141" s="6">
        <v>139.99</v>
      </c>
      <c r="G141" s="6">
        <v>139.99</v>
      </c>
      <c r="H141" s="6" t="s">
        <v>15</v>
      </c>
      <c r="I141" s="7" t="s">
        <v>16</v>
      </c>
      <c r="J141" s="22">
        <f>(Table1[[#This Row],[Total Revenue]] * 0.18) + Table1[[#This Row],[Total Revenue]]</f>
        <v>165.18819999999999</v>
      </c>
      <c r="K141" s="6" t="str">
        <f>TRIM(Table1[[#This Row],[Product Name]])</f>
        <v>Instant Pot Ultra</v>
      </c>
      <c r="L141" s="6" t="str">
        <f>UPPER(Table1[[#This Row],[Trimmed words]])</f>
        <v>INSTANT POT ULTRA</v>
      </c>
      <c r="M141" s="26" t="str">
        <f>LOWER(Table1[[#This Row],[Upper function]])</f>
        <v>instant pot ultra</v>
      </c>
      <c r="N141" s="26" t="str">
        <f t="shared" si="13"/>
        <v>Hom</v>
      </c>
      <c r="O141" s="26" t="str">
        <f t="shared" si="14"/>
        <v>e Applia</v>
      </c>
      <c r="P141" s="27" t="str">
        <f t="shared" si="15"/>
        <v>liances</v>
      </c>
      <c r="Q141" s="27" t="str">
        <f t="shared" si="16"/>
        <v>Home Appliwordnces</v>
      </c>
      <c r="R141" s="27" t="str">
        <f t="shared" si="17"/>
        <v>positionme Appliances</v>
      </c>
      <c r="S141" s="27" t="str">
        <f t="shared" si="18"/>
        <v>10140-Home Appliances-(Asia)</v>
      </c>
      <c r="T141" s="27"/>
    </row>
    <row r="142" spans="1:20" x14ac:dyDescent="0.35">
      <c r="A142" s="4">
        <v>10141</v>
      </c>
      <c r="B142" s="5">
        <v>45432</v>
      </c>
      <c r="C142" s="6" t="s">
        <v>17</v>
      </c>
      <c r="D142" s="6" t="s">
        <v>160</v>
      </c>
      <c r="E142" s="6">
        <v>3</v>
      </c>
      <c r="F142" s="6">
        <v>44.99</v>
      </c>
      <c r="G142" s="6">
        <v>134.97</v>
      </c>
      <c r="H142" s="6" t="s">
        <v>19</v>
      </c>
      <c r="I142" s="7" t="s">
        <v>20</v>
      </c>
      <c r="J142" s="22">
        <f>(Table1[[#This Row],[Total Revenue]] * 0.18) + Table1[[#This Row],[Total Revenue]]</f>
        <v>159.2646</v>
      </c>
      <c r="K142" s="6" t="str">
        <f>TRIM(Table1[[#This Row],[Product Name]])</f>
        <v>Adidas Essential Track Pants</v>
      </c>
      <c r="L142" s="6" t="str">
        <f>UPPER(Table1[[#This Row],[Trimmed words]])</f>
        <v>ADIDAS ESSENTIAL TRACK PANTS</v>
      </c>
      <c r="M142" s="26" t="str">
        <f>LOWER(Table1[[#This Row],[Upper function]])</f>
        <v>adidas essential track pants</v>
      </c>
      <c r="N142" s="26" t="str">
        <f t="shared" si="13"/>
        <v>Clo</v>
      </c>
      <c r="O142" s="26" t="str">
        <f t="shared" si="14"/>
        <v>thing</v>
      </c>
      <c r="P142" s="27" t="str">
        <f t="shared" si="15"/>
        <v>lothing</v>
      </c>
      <c r="Q142" s="27" t="str">
        <f t="shared" si="16"/>
        <v>Clothing</v>
      </c>
      <c r="R142" s="27" t="str">
        <f t="shared" si="17"/>
        <v>positionothing</v>
      </c>
      <c r="S142" s="27" t="str">
        <f t="shared" si="18"/>
        <v>10141-Clothing-(North America)</v>
      </c>
      <c r="T142" s="27"/>
    </row>
    <row r="143" spans="1:20" x14ac:dyDescent="0.35">
      <c r="A143" s="4">
        <v>10142</v>
      </c>
      <c r="B143" s="5">
        <v>45433</v>
      </c>
      <c r="C143" s="6" t="s">
        <v>21</v>
      </c>
      <c r="D143" s="6" t="s">
        <v>161</v>
      </c>
      <c r="E143" s="6">
        <v>2</v>
      </c>
      <c r="F143" s="6">
        <v>11.99</v>
      </c>
      <c r="G143" s="6">
        <v>23.98</v>
      </c>
      <c r="H143" s="6" t="s">
        <v>11</v>
      </c>
      <c r="I143" s="7" t="s">
        <v>12</v>
      </c>
      <c r="J143" s="22">
        <f>(Table1[[#This Row],[Total Revenue]] * 0.18) + Table1[[#This Row],[Total Revenue]]</f>
        <v>28.296399999999998</v>
      </c>
      <c r="K143" s="6" t="str">
        <f>TRIM(Table1[[#This Row],[Product Name]])</f>
        <v>The Power of Habit by Charles Duhigg</v>
      </c>
      <c r="L143" s="6" t="str">
        <f>UPPER(Table1[[#This Row],[Trimmed words]])</f>
        <v>THE POWER OF HABIT BY CHARLES DUHIGG</v>
      </c>
      <c r="M143" s="26" t="str">
        <f>LOWER(Table1[[#This Row],[Upper function]])</f>
        <v>the power of habit by charles duhigg</v>
      </c>
      <c r="N143" s="26" t="str">
        <f t="shared" si="13"/>
        <v>Boo</v>
      </c>
      <c r="O143" s="26" t="str">
        <f t="shared" si="14"/>
        <v>ks</v>
      </c>
      <c r="P143" s="27" t="str">
        <f t="shared" si="15"/>
        <v>Books</v>
      </c>
      <c r="Q143" s="27" t="str">
        <f t="shared" si="16"/>
        <v>Books</v>
      </c>
      <c r="R143" s="27" t="str">
        <f t="shared" si="17"/>
        <v>positionoks</v>
      </c>
      <c r="S143" s="27" t="str">
        <f t="shared" si="18"/>
        <v>10142-Books-(Europe)</v>
      </c>
      <c r="T143" s="27"/>
    </row>
    <row r="144" spans="1:20" x14ac:dyDescent="0.35">
      <c r="A144" s="4">
        <v>10143</v>
      </c>
      <c r="B144" s="5">
        <v>45434</v>
      </c>
      <c r="C144" s="6" t="s">
        <v>23</v>
      </c>
      <c r="D144" s="6" t="s">
        <v>162</v>
      </c>
      <c r="E144" s="6">
        <v>1</v>
      </c>
      <c r="F144" s="6">
        <v>29.5</v>
      </c>
      <c r="G144" s="6">
        <v>29.5</v>
      </c>
      <c r="H144" s="6" t="s">
        <v>15</v>
      </c>
      <c r="I144" s="7" t="s">
        <v>16</v>
      </c>
      <c r="J144" s="22">
        <f>(Table1[[#This Row],[Total Revenue]] * 0.18) + Table1[[#This Row],[Total Revenue]]</f>
        <v>34.81</v>
      </c>
      <c r="K144" s="6" t="str">
        <f>TRIM(Table1[[#This Row],[Product Name]])</f>
        <v>Clinique Dramatically Different Moisturizing Lotion</v>
      </c>
      <c r="L144" s="6" t="str">
        <f>UPPER(Table1[[#This Row],[Trimmed words]])</f>
        <v>CLINIQUE DRAMATICALLY DIFFERENT MOISTURIZING LOTION</v>
      </c>
      <c r="M144" s="26" t="str">
        <f>LOWER(Table1[[#This Row],[Upper function]])</f>
        <v>clinique dramatically different moisturizing lotion</v>
      </c>
      <c r="N144" s="26" t="str">
        <f t="shared" si="13"/>
        <v>Bea</v>
      </c>
      <c r="O144" s="26" t="str">
        <f t="shared" si="14"/>
        <v>uty Prod</v>
      </c>
      <c r="P144" s="27" t="str">
        <f t="shared" si="15"/>
        <v>roducts</v>
      </c>
      <c r="Q144" s="27" t="str">
        <f t="shared" si="16"/>
        <v>Beworduty Products</v>
      </c>
      <c r="R144" s="27" t="str">
        <f t="shared" si="17"/>
        <v>positionauty Products</v>
      </c>
      <c r="S144" s="27" t="str">
        <f t="shared" si="18"/>
        <v>10143-Beauty Products-(Asia)</v>
      </c>
      <c r="T144" s="27"/>
    </row>
    <row r="145" spans="1:20" x14ac:dyDescent="0.35">
      <c r="A145" s="4">
        <v>10144</v>
      </c>
      <c r="B145" s="5">
        <v>45435</v>
      </c>
      <c r="C145" s="6" t="s">
        <v>25</v>
      </c>
      <c r="D145" s="6" t="s">
        <v>163</v>
      </c>
      <c r="E145" s="6">
        <v>1</v>
      </c>
      <c r="F145" s="6">
        <v>299.99</v>
      </c>
      <c r="G145" s="6">
        <v>299.99</v>
      </c>
      <c r="H145" s="6" t="s">
        <v>19</v>
      </c>
      <c r="I145" s="7" t="s">
        <v>12</v>
      </c>
      <c r="J145" s="22">
        <f>(Table1[[#This Row],[Total Revenue]] * 0.18) + Table1[[#This Row],[Total Revenue]]</f>
        <v>353.98820000000001</v>
      </c>
      <c r="K145" s="6" t="str">
        <f>TRIM(Table1[[#This Row],[Product Name]])</f>
        <v>YETI Tundra 45 Cooler</v>
      </c>
      <c r="L145" s="6" t="str">
        <f>UPPER(Table1[[#This Row],[Trimmed words]])</f>
        <v>YETI TUNDRA 45 COOLER</v>
      </c>
      <c r="M145" s="26" t="str">
        <f>LOWER(Table1[[#This Row],[Upper function]])</f>
        <v>yeti tundra 45 cooler</v>
      </c>
      <c r="N145" s="26" t="str">
        <f t="shared" si="13"/>
        <v>Spo</v>
      </c>
      <c r="O145" s="26" t="str">
        <f t="shared" si="14"/>
        <v>rts</v>
      </c>
      <c r="P145" s="27" t="str">
        <f t="shared" si="15"/>
        <v>Sports</v>
      </c>
      <c r="Q145" s="27" t="str">
        <f t="shared" si="16"/>
        <v>Sports</v>
      </c>
      <c r="R145" s="27" t="str">
        <f t="shared" si="17"/>
        <v>positionorts</v>
      </c>
      <c r="S145" s="27" t="str">
        <f t="shared" si="18"/>
        <v>10144-Sports-(North America)</v>
      </c>
      <c r="T145" s="27"/>
    </row>
    <row r="146" spans="1:20" x14ac:dyDescent="0.35">
      <c r="A146" s="4">
        <v>10145</v>
      </c>
      <c r="B146" s="5">
        <v>45436</v>
      </c>
      <c r="C146" s="6" t="s">
        <v>9</v>
      </c>
      <c r="D146" s="6" t="s">
        <v>164</v>
      </c>
      <c r="E146" s="6">
        <v>1</v>
      </c>
      <c r="F146" s="6">
        <v>549</v>
      </c>
      <c r="G146" s="6">
        <v>549</v>
      </c>
      <c r="H146" s="6" t="s">
        <v>11</v>
      </c>
      <c r="I146" s="7" t="s">
        <v>12</v>
      </c>
      <c r="J146" s="22">
        <f>(Table1[[#This Row],[Total Revenue]] * 0.18) + Table1[[#This Row],[Total Revenue]]</f>
        <v>647.81999999999994</v>
      </c>
      <c r="K146" s="6" t="str">
        <f>TRIM(Table1[[#This Row],[Product Name]])</f>
        <v>Apple AirPods Max</v>
      </c>
      <c r="L146" s="6" t="str">
        <f>UPPER(Table1[[#This Row],[Trimmed words]])</f>
        <v>APPLE AIRPODS MAX</v>
      </c>
      <c r="M146" s="26" t="str">
        <f>LOWER(Table1[[#This Row],[Upper function]])</f>
        <v>apple airpods max</v>
      </c>
      <c r="N146" s="26" t="str">
        <f t="shared" si="13"/>
        <v>Ele</v>
      </c>
      <c r="O146" s="26" t="str">
        <f t="shared" si="14"/>
        <v>ctronics</v>
      </c>
      <c r="P146" s="27" t="str">
        <f t="shared" si="15"/>
        <v>tronics</v>
      </c>
      <c r="Q146" s="27" t="str">
        <f t="shared" si="16"/>
        <v>Electronics</v>
      </c>
      <c r="R146" s="27" t="str">
        <f t="shared" si="17"/>
        <v>positionectronics</v>
      </c>
      <c r="S146" s="27" t="str">
        <f t="shared" si="18"/>
        <v>10145-Electronics-(Europe)</v>
      </c>
      <c r="T146" s="27"/>
    </row>
    <row r="147" spans="1:20" x14ac:dyDescent="0.35">
      <c r="A147" s="4">
        <v>10146</v>
      </c>
      <c r="B147" s="5">
        <v>45437</v>
      </c>
      <c r="C147" s="6" t="s">
        <v>13</v>
      </c>
      <c r="D147" s="6" t="s">
        <v>165</v>
      </c>
      <c r="E147" s="6">
        <v>2</v>
      </c>
      <c r="F147" s="6">
        <v>199.95</v>
      </c>
      <c r="G147" s="6">
        <v>399.9</v>
      </c>
      <c r="H147" s="6" t="s">
        <v>15</v>
      </c>
      <c r="I147" s="7" t="s">
        <v>16</v>
      </c>
      <c r="J147" s="22">
        <f>(Table1[[#This Row],[Total Revenue]] * 0.18) + Table1[[#This Row],[Total Revenue]]</f>
        <v>471.88199999999995</v>
      </c>
      <c r="K147" s="6" t="str">
        <f>TRIM(Table1[[#This Row],[Product Name]])</f>
        <v>Cuisinart Coffee Center</v>
      </c>
      <c r="L147" s="6" t="str">
        <f>UPPER(Table1[[#This Row],[Trimmed words]])</f>
        <v>CUISINART COFFEE CENTER</v>
      </c>
      <c r="M147" s="26" t="str">
        <f>LOWER(Table1[[#This Row],[Upper function]])</f>
        <v>cuisinart coffee center</v>
      </c>
      <c r="N147" s="26" t="str">
        <f t="shared" si="13"/>
        <v>Hom</v>
      </c>
      <c r="O147" s="26" t="str">
        <f t="shared" si="14"/>
        <v>e Applia</v>
      </c>
      <c r="P147" s="27" t="str">
        <f t="shared" si="15"/>
        <v>liances</v>
      </c>
      <c r="Q147" s="27" t="str">
        <f t="shared" si="16"/>
        <v>Home Appliwordnces</v>
      </c>
      <c r="R147" s="27" t="str">
        <f t="shared" si="17"/>
        <v>positionme Appliances</v>
      </c>
      <c r="S147" s="27" t="str">
        <f t="shared" si="18"/>
        <v>10146-Home Appliances-(Asia)</v>
      </c>
      <c r="T147" s="27"/>
    </row>
    <row r="148" spans="1:20" x14ac:dyDescent="0.35">
      <c r="A148" s="4">
        <v>10147</v>
      </c>
      <c r="B148" s="5">
        <v>45438</v>
      </c>
      <c r="C148" s="6" t="s">
        <v>17</v>
      </c>
      <c r="D148" s="6" t="s">
        <v>166</v>
      </c>
      <c r="E148" s="6">
        <v>2</v>
      </c>
      <c r="F148" s="6">
        <v>98</v>
      </c>
      <c r="G148" s="6">
        <v>196</v>
      </c>
      <c r="H148" s="6" t="s">
        <v>19</v>
      </c>
      <c r="I148" s="7" t="s">
        <v>20</v>
      </c>
      <c r="J148" s="22">
        <f>(Table1[[#This Row],[Total Revenue]] * 0.18) + Table1[[#This Row],[Total Revenue]]</f>
        <v>231.28</v>
      </c>
      <c r="K148" s="6" t="str">
        <f>TRIM(Table1[[#This Row],[Product Name]])</f>
        <v>Levi's Sherpa Trucker Jacket</v>
      </c>
      <c r="L148" s="6" t="str">
        <f>UPPER(Table1[[#This Row],[Trimmed words]])</f>
        <v>LEVI'S SHERPA TRUCKER JACKET</v>
      </c>
      <c r="M148" s="26" t="str">
        <f>LOWER(Table1[[#This Row],[Upper function]])</f>
        <v>levi's sherpa trucker jacket</v>
      </c>
      <c r="N148" s="26" t="str">
        <f t="shared" si="13"/>
        <v>Clo</v>
      </c>
      <c r="O148" s="26" t="str">
        <f t="shared" si="14"/>
        <v>thing</v>
      </c>
      <c r="P148" s="27" t="str">
        <f t="shared" si="15"/>
        <v>lothing</v>
      </c>
      <c r="Q148" s="27" t="str">
        <f t="shared" si="16"/>
        <v>Clothing</v>
      </c>
      <c r="R148" s="27" t="str">
        <f t="shared" si="17"/>
        <v>positionothing</v>
      </c>
      <c r="S148" s="27" t="str">
        <f t="shared" si="18"/>
        <v>10147-Clothing-(North America)</v>
      </c>
      <c r="T148" s="27"/>
    </row>
    <row r="149" spans="1:20" x14ac:dyDescent="0.35">
      <c r="A149" s="4">
        <v>10148</v>
      </c>
      <c r="B149" s="5">
        <v>45439</v>
      </c>
      <c r="C149" s="6" t="s">
        <v>21</v>
      </c>
      <c r="D149" s="6" t="s">
        <v>167</v>
      </c>
      <c r="E149" s="6">
        <v>3</v>
      </c>
      <c r="F149" s="6">
        <v>10.99</v>
      </c>
      <c r="G149" s="6">
        <v>32.97</v>
      </c>
      <c r="H149" s="6" t="s">
        <v>11</v>
      </c>
      <c r="I149" s="7" t="s">
        <v>12</v>
      </c>
      <c r="J149" s="22">
        <f>(Table1[[#This Row],[Total Revenue]] * 0.18) + Table1[[#This Row],[Total Revenue]]</f>
        <v>38.904600000000002</v>
      </c>
      <c r="K149" s="6" t="str">
        <f>TRIM(Table1[[#This Row],[Product Name]])</f>
        <v>The Outsiders by S.E. Hinton</v>
      </c>
      <c r="L149" s="6" t="str">
        <f>UPPER(Table1[[#This Row],[Trimmed words]])</f>
        <v>THE OUTSIDERS BY S.E. HINTON</v>
      </c>
      <c r="M149" s="26" t="str">
        <f>LOWER(Table1[[#This Row],[Upper function]])</f>
        <v>the outsiders by s.e. hinton</v>
      </c>
      <c r="N149" s="26" t="str">
        <f t="shared" si="13"/>
        <v>Boo</v>
      </c>
      <c r="O149" s="26" t="str">
        <f t="shared" si="14"/>
        <v>ks</v>
      </c>
      <c r="P149" s="27" t="str">
        <f t="shared" si="15"/>
        <v>Books</v>
      </c>
      <c r="Q149" s="27" t="str">
        <f t="shared" si="16"/>
        <v>Books</v>
      </c>
      <c r="R149" s="27" t="str">
        <f t="shared" si="17"/>
        <v>positionoks</v>
      </c>
      <c r="S149" s="27" t="str">
        <f t="shared" si="18"/>
        <v>10148-Books-(Europe)</v>
      </c>
      <c r="T149" s="27"/>
    </row>
    <row r="150" spans="1:20" x14ac:dyDescent="0.35">
      <c r="A150" s="4">
        <v>10149</v>
      </c>
      <c r="B150" s="5">
        <v>45440</v>
      </c>
      <c r="C150" s="6" t="s">
        <v>23</v>
      </c>
      <c r="D150" s="6" t="s">
        <v>168</v>
      </c>
      <c r="E150" s="6">
        <v>1</v>
      </c>
      <c r="F150" s="6">
        <v>25</v>
      </c>
      <c r="G150" s="6">
        <v>25</v>
      </c>
      <c r="H150" s="6" t="s">
        <v>15</v>
      </c>
      <c r="I150" s="7" t="s">
        <v>16</v>
      </c>
      <c r="J150" s="22">
        <f>(Table1[[#This Row],[Total Revenue]] * 0.18) + Table1[[#This Row],[Total Revenue]]</f>
        <v>29.5</v>
      </c>
      <c r="K150" s="6" t="str">
        <f>TRIM(Table1[[#This Row],[Product Name]])</f>
        <v>Laneige Water Sleeping Mask</v>
      </c>
      <c r="L150" s="6" t="str">
        <f>UPPER(Table1[[#This Row],[Trimmed words]])</f>
        <v>LANEIGE WATER SLEEPING MASK</v>
      </c>
      <c r="M150" s="26" t="str">
        <f>LOWER(Table1[[#This Row],[Upper function]])</f>
        <v>laneige water sleeping mask</v>
      </c>
      <c r="N150" s="26" t="str">
        <f t="shared" si="13"/>
        <v>Bea</v>
      </c>
      <c r="O150" s="26" t="str">
        <f t="shared" si="14"/>
        <v>uty Prod</v>
      </c>
      <c r="P150" s="27" t="str">
        <f t="shared" si="15"/>
        <v>roducts</v>
      </c>
      <c r="Q150" s="27" t="str">
        <f t="shared" si="16"/>
        <v>Beworduty Products</v>
      </c>
      <c r="R150" s="27" t="str">
        <f t="shared" si="17"/>
        <v>positionauty Products</v>
      </c>
      <c r="S150" s="27" t="str">
        <f t="shared" si="18"/>
        <v>10149-Beauty Products-(Asia)</v>
      </c>
      <c r="T150" s="27"/>
    </row>
    <row r="151" spans="1:20" x14ac:dyDescent="0.35">
      <c r="A151" s="4">
        <v>10150</v>
      </c>
      <c r="B151" s="5">
        <v>45441</v>
      </c>
      <c r="C151" s="6" t="s">
        <v>25</v>
      </c>
      <c r="D151" s="6" t="s">
        <v>169</v>
      </c>
      <c r="E151" s="6">
        <v>2</v>
      </c>
      <c r="F151" s="6">
        <v>149.99</v>
      </c>
      <c r="G151" s="6">
        <v>299.98</v>
      </c>
      <c r="H151" s="6" t="s">
        <v>19</v>
      </c>
      <c r="I151" s="7" t="s">
        <v>12</v>
      </c>
      <c r="J151" s="22">
        <f>(Table1[[#This Row],[Total Revenue]] * 0.18) + Table1[[#This Row],[Total Revenue]]</f>
        <v>353.97640000000001</v>
      </c>
      <c r="K151" s="6" t="str">
        <f>TRIM(Table1[[#This Row],[Product Name]])</f>
        <v>Bose SoundSport Wireless Earbuds</v>
      </c>
      <c r="L151" s="6" t="str">
        <f>UPPER(Table1[[#This Row],[Trimmed words]])</f>
        <v>BOSE SOUNDSPORT WIRELESS EARBUDS</v>
      </c>
      <c r="M151" s="26" t="str">
        <f>LOWER(Table1[[#This Row],[Upper function]])</f>
        <v>bose soundsport wireless earbuds</v>
      </c>
      <c r="N151" s="26" t="str">
        <f t="shared" si="13"/>
        <v>Spo</v>
      </c>
      <c r="O151" s="26" t="str">
        <f t="shared" si="14"/>
        <v>rts</v>
      </c>
      <c r="P151" s="27" t="str">
        <f t="shared" si="15"/>
        <v>Sports</v>
      </c>
      <c r="Q151" s="27" t="str">
        <f t="shared" si="16"/>
        <v>Sports</v>
      </c>
      <c r="R151" s="27" t="str">
        <f t="shared" si="17"/>
        <v>positionorts</v>
      </c>
      <c r="S151" s="27" t="str">
        <f t="shared" si="18"/>
        <v>10150-Sports-(North America)</v>
      </c>
      <c r="T151" s="27"/>
    </row>
    <row r="152" spans="1:20" x14ac:dyDescent="0.35">
      <c r="A152" s="4">
        <v>10151</v>
      </c>
      <c r="B152" s="5">
        <v>45442</v>
      </c>
      <c r="C152" s="6" t="s">
        <v>9</v>
      </c>
      <c r="D152" s="6" t="s">
        <v>51</v>
      </c>
      <c r="E152" s="6">
        <v>1</v>
      </c>
      <c r="F152" s="6">
        <v>349.99</v>
      </c>
      <c r="G152" s="6">
        <v>349.99</v>
      </c>
      <c r="H152" s="6" t="s">
        <v>11</v>
      </c>
      <c r="I152" s="7" t="s">
        <v>12</v>
      </c>
      <c r="J152" s="22">
        <f>(Table1[[#This Row],[Total Revenue]] * 0.18) + Table1[[#This Row],[Total Revenue]]</f>
        <v>412.98820000000001</v>
      </c>
      <c r="K152" s="6" t="str">
        <f>TRIM(Table1[[#This Row],[Product Name]])</f>
        <v>Sony WH-1000XM4 Headphones</v>
      </c>
      <c r="L152" s="6" t="str">
        <f>UPPER(Table1[[#This Row],[Trimmed words]])</f>
        <v>SONY WH-1000XM4 HEADPHONES</v>
      </c>
      <c r="M152" s="26" t="str">
        <f>LOWER(Table1[[#This Row],[Upper function]])</f>
        <v>sony wh-1000xm4 headphones</v>
      </c>
      <c r="N152" s="26" t="str">
        <f t="shared" si="13"/>
        <v>Ele</v>
      </c>
      <c r="O152" s="26" t="str">
        <f t="shared" si="14"/>
        <v>ctronics</v>
      </c>
      <c r="P152" s="27" t="str">
        <f t="shared" si="15"/>
        <v>tronics</v>
      </c>
      <c r="Q152" s="27" t="str">
        <f t="shared" si="16"/>
        <v>Electronics</v>
      </c>
      <c r="R152" s="27" t="str">
        <f t="shared" si="17"/>
        <v>positionectronics</v>
      </c>
      <c r="S152" s="27" t="str">
        <f t="shared" si="18"/>
        <v>10151-Electronics-(Europe)</v>
      </c>
      <c r="T152" s="27"/>
    </row>
    <row r="153" spans="1:20" x14ac:dyDescent="0.35">
      <c r="A153" s="4">
        <v>10152</v>
      </c>
      <c r="B153" s="5">
        <v>45443</v>
      </c>
      <c r="C153" s="6" t="s">
        <v>13</v>
      </c>
      <c r="D153" s="6" t="s">
        <v>170</v>
      </c>
      <c r="E153" s="6">
        <v>2</v>
      </c>
      <c r="F153" s="6">
        <v>199.99</v>
      </c>
      <c r="G153" s="6">
        <v>399.98</v>
      </c>
      <c r="H153" s="6" t="s">
        <v>15</v>
      </c>
      <c r="I153" s="7" t="s">
        <v>16</v>
      </c>
      <c r="J153" s="22">
        <f>(Table1[[#This Row],[Total Revenue]] * 0.18) + Table1[[#This Row],[Total Revenue]]</f>
        <v>471.97640000000001</v>
      </c>
      <c r="K153" s="6" t="str">
        <f>TRIM(Table1[[#This Row],[Product Name]])</f>
        <v>Ninja Foodi Pressure Cooker</v>
      </c>
      <c r="L153" s="6" t="str">
        <f>UPPER(Table1[[#This Row],[Trimmed words]])</f>
        <v>NINJA FOODI PRESSURE COOKER</v>
      </c>
      <c r="M153" s="26" t="str">
        <f>LOWER(Table1[[#This Row],[Upper function]])</f>
        <v>ninja foodi pressure cooker</v>
      </c>
      <c r="N153" s="26" t="str">
        <f t="shared" si="13"/>
        <v>Hom</v>
      </c>
      <c r="O153" s="26" t="str">
        <f t="shared" si="14"/>
        <v>e Applia</v>
      </c>
      <c r="P153" s="27" t="str">
        <f t="shared" si="15"/>
        <v>liances</v>
      </c>
      <c r="Q153" s="27" t="str">
        <f t="shared" si="16"/>
        <v>Home Appliwordnces</v>
      </c>
      <c r="R153" s="27" t="str">
        <f t="shared" si="17"/>
        <v>positionme Appliances</v>
      </c>
      <c r="S153" s="27" t="str">
        <f t="shared" si="18"/>
        <v>10152-Home Appliances-(Asia)</v>
      </c>
      <c r="T153" s="27"/>
    </row>
    <row r="154" spans="1:20" x14ac:dyDescent="0.35">
      <c r="A154" s="4">
        <v>10153</v>
      </c>
      <c r="B154" s="5">
        <v>45444</v>
      </c>
      <c r="C154" s="6" t="s">
        <v>17</v>
      </c>
      <c r="D154" s="6" t="s">
        <v>171</v>
      </c>
      <c r="E154" s="6">
        <v>3</v>
      </c>
      <c r="F154" s="6">
        <v>54.99</v>
      </c>
      <c r="G154" s="6">
        <v>164.97</v>
      </c>
      <c r="H154" s="6" t="s">
        <v>19</v>
      </c>
      <c r="I154" s="7" t="s">
        <v>20</v>
      </c>
      <c r="J154" s="22">
        <f>(Table1[[#This Row],[Total Revenue]] * 0.18) + Table1[[#This Row],[Total Revenue]]</f>
        <v>194.66460000000001</v>
      </c>
      <c r="K154" s="6" t="str">
        <f>TRIM(Table1[[#This Row],[Product Name]])</f>
        <v>Nike Sportswear Club Fleece Hoodie</v>
      </c>
      <c r="L154" s="6" t="str">
        <f>UPPER(Table1[[#This Row],[Trimmed words]])</f>
        <v>NIKE SPORTSWEAR CLUB FLEECE HOODIE</v>
      </c>
      <c r="M154" s="26" t="str">
        <f>LOWER(Table1[[#This Row],[Upper function]])</f>
        <v>nike sportswear club fleece hoodie</v>
      </c>
      <c r="N154" s="26" t="str">
        <f t="shared" si="13"/>
        <v>Clo</v>
      </c>
      <c r="O154" s="26" t="str">
        <f t="shared" si="14"/>
        <v>thing</v>
      </c>
      <c r="P154" s="27" t="str">
        <f t="shared" si="15"/>
        <v>lothing</v>
      </c>
      <c r="Q154" s="27" t="str">
        <f t="shared" si="16"/>
        <v>Clothing</v>
      </c>
      <c r="R154" s="27" t="str">
        <f t="shared" si="17"/>
        <v>positionothing</v>
      </c>
      <c r="S154" s="27" t="str">
        <f t="shared" si="18"/>
        <v>10153-Clothing-(North America)</v>
      </c>
      <c r="T154" s="27"/>
    </row>
    <row r="155" spans="1:20" x14ac:dyDescent="0.35">
      <c r="A155" s="4">
        <v>10154</v>
      </c>
      <c r="B155" s="5">
        <v>45445</v>
      </c>
      <c r="C155" s="6" t="s">
        <v>21</v>
      </c>
      <c r="D155" s="6" t="s">
        <v>172</v>
      </c>
      <c r="E155" s="6">
        <v>2</v>
      </c>
      <c r="F155" s="6">
        <v>16.989999999999998</v>
      </c>
      <c r="G155" s="6">
        <v>33.979999999999997</v>
      </c>
      <c r="H155" s="6" t="s">
        <v>11</v>
      </c>
      <c r="I155" s="7" t="s">
        <v>12</v>
      </c>
      <c r="J155" s="22">
        <f>(Table1[[#This Row],[Total Revenue]] * 0.18) + Table1[[#This Row],[Total Revenue]]</f>
        <v>40.096399999999996</v>
      </c>
      <c r="K155" s="6" t="str">
        <f>TRIM(Table1[[#This Row],[Product Name]])</f>
        <v>The Night Circus by Erin Morgenstern</v>
      </c>
      <c r="L155" s="6" t="str">
        <f>UPPER(Table1[[#This Row],[Trimmed words]])</f>
        <v>THE NIGHT CIRCUS BY ERIN MORGENSTERN</v>
      </c>
      <c r="M155" s="26" t="str">
        <f>LOWER(Table1[[#This Row],[Upper function]])</f>
        <v>the night circus by erin morgenstern</v>
      </c>
      <c r="N155" s="26" t="str">
        <f t="shared" si="13"/>
        <v>Boo</v>
      </c>
      <c r="O155" s="26" t="str">
        <f t="shared" si="14"/>
        <v>ks</v>
      </c>
      <c r="P155" s="27" t="str">
        <f t="shared" si="15"/>
        <v>Books</v>
      </c>
      <c r="Q155" s="27" t="str">
        <f t="shared" si="16"/>
        <v>Books</v>
      </c>
      <c r="R155" s="27" t="str">
        <f t="shared" si="17"/>
        <v>positionoks</v>
      </c>
      <c r="S155" s="27" t="str">
        <f t="shared" si="18"/>
        <v>10154-Books-(Europe)</v>
      </c>
      <c r="T155" s="27"/>
    </row>
    <row r="156" spans="1:20" x14ac:dyDescent="0.35">
      <c r="A156" s="4">
        <v>10155</v>
      </c>
      <c r="B156" s="5">
        <v>45446</v>
      </c>
      <c r="C156" s="6" t="s">
        <v>23</v>
      </c>
      <c r="D156" s="6" t="s">
        <v>173</v>
      </c>
      <c r="E156" s="6">
        <v>1</v>
      </c>
      <c r="F156" s="6">
        <v>59</v>
      </c>
      <c r="G156" s="6">
        <v>59</v>
      </c>
      <c r="H156" s="6" t="s">
        <v>15</v>
      </c>
      <c r="I156" s="7" t="s">
        <v>16</v>
      </c>
      <c r="J156" s="22">
        <f>(Table1[[#This Row],[Total Revenue]] * 0.18) + Table1[[#This Row],[Total Revenue]]</f>
        <v>69.62</v>
      </c>
      <c r="K156" s="6" t="str">
        <f>TRIM(Table1[[#This Row],[Product Name]])</f>
        <v>GlamGlow Supermud Clearing Treatment</v>
      </c>
      <c r="L156" s="6" t="str">
        <f>UPPER(Table1[[#This Row],[Trimmed words]])</f>
        <v>GLAMGLOW SUPERMUD CLEARING TREATMENT</v>
      </c>
      <c r="M156" s="26" t="str">
        <f>LOWER(Table1[[#This Row],[Upper function]])</f>
        <v>glamglow supermud clearing treatment</v>
      </c>
      <c r="N156" s="26" t="str">
        <f t="shared" si="13"/>
        <v>Bea</v>
      </c>
      <c r="O156" s="26" t="str">
        <f t="shared" si="14"/>
        <v>uty Prod</v>
      </c>
      <c r="P156" s="27" t="str">
        <f t="shared" si="15"/>
        <v>roducts</v>
      </c>
      <c r="Q156" s="27" t="str">
        <f t="shared" si="16"/>
        <v>Beworduty Products</v>
      </c>
      <c r="R156" s="27" t="str">
        <f t="shared" si="17"/>
        <v>positionauty Products</v>
      </c>
      <c r="S156" s="27" t="str">
        <f t="shared" si="18"/>
        <v>10155-Beauty Products-(Asia)</v>
      </c>
      <c r="T156" s="27"/>
    </row>
    <row r="157" spans="1:20" x14ac:dyDescent="0.35">
      <c r="A157" s="4">
        <v>10156</v>
      </c>
      <c r="B157" s="5">
        <v>45447</v>
      </c>
      <c r="C157" s="6" t="s">
        <v>25</v>
      </c>
      <c r="D157" s="6" t="s">
        <v>174</v>
      </c>
      <c r="E157" s="6">
        <v>1</v>
      </c>
      <c r="F157" s="6">
        <v>299.99</v>
      </c>
      <c r="G157" s="6">
        <v>299.99</v>
      </c>
      <c r="H157" s="6" t="s">
        <v>19</v>
      </c>
      <c r="I157" s="7" t="s">
        <v>12</v>
      </c>
      <c r="J157" s="22">
        <f>(Table1[[#This Row],[Total Revenue]] * 0.18) + Table1[[#This Row],[Total Revenue]]</f>
        <v>353.98820000000001</v>
      </c>
      <c r="K157" s="6" t="str">
        <f>TRIM(Table1[[#This Row],[Product Name]])</f>
        <v>Garmin Forerunner 245</v>
      </c>
      <c r="L157" s="6" t="str">
        <f>UPPER(Table1[[#This Row],[Trimmed words]])</f>
        <v>GARMIN FORERUNNER 245</v>
      </c>
      <c r="M157" s="26" t="str">
        <f>LOWER(Table1[[#This Row],[Upper function]])</f>
        <v>garmin forerunner 245</v>
      </c>
      <c r="N157" s="26" t="str">
        <f t="shared" si="13"/>
        <v>Spo</v>
      </c>
      <c r="O157" s="26" t="str">
        <f t="shared" si="14"/>
        <v>rts</v>
      </c>
      <c r="P157" s="27" t="str">
        <f t="shared" si="15"/>
        <v>Sports</v>
      </c>
      <c r="Q157" s="27" t="str">
        <f t="shared" si="16"/>
        <v>Sports</v>
      </c>
      <c r="R157" s="27" t="str">
        <f t="shared" si="17"/>
        <v>positionorts</v>
      </c>
      <c r="S157" s="27" t="str">
        <f t="shared" si="18"/>
        <v>10156-Sports-(North America)</v>
      </c>
      <c r="T157" s="27"/>
    </row>
    <row r="158" spans="1:20" x14ac:dyDescent="0.35">
      <c r="A158" s="4">
        <v>10157</v>
      </c>
      <c r="B158" s="5">
        <v>45448</v>
      </c>
      <c r="C158" s="6" t="s">
        <v>9</v>
      </c>
      <c r="D158" s="6" t="s">
        <v>175</v>
      </c>
      <c r="E158" s="6">
        <v>1</v>
      </c>
      <c r="F158" s="6">
        <v>899.99</v>
      </c>
      <c r="G158" s="6">
        <v>899.99</v>
      </c>
      <c r="H158" s="6" t="s">
        <v>11</v>
      </c>
      <c r="I158" s="7" t="s">
        <v>12</v>
      </c>
      <c r="J158" s="22">
        <f>(Table1[[#This Row],[Total Revenue]] * 0.18) + Table1[[#This Row],[Total Revenue]]</f>
        <v>1061.9882</v>
      </c>
      <c r="K158" s="6" t="str">
        <f>TRIM(Table1[[#This Row],[Product Name]])</f>
        <v>Google Pixel 6 Pro</v>
      </c>
      <c r="L158" s="6" t="str">
        <f>UPPER(Table1[[#This Row],[Trimmed words]])</f>
        <v>GOOGLE PIXEL 6 PRO</v>
      </c>
      <c r="M158" s="26" t="str">
        <f>LOWER(Table1[[#This Row],[Upper function]])</f>
        <v>google pixel 6 pro</v>
      </c>
      <c r="N158" s="26" t="str">
        <f t="shared" si="13"/>
        <v>Ele</v>
      </c>
      <c r="O158" s="26" t="str">
        <f t="shared" si="14"/>
        <v>ctronics</v>
      </c>
      <c r="P158" s="27" t="str">
        <f t="shared" si="15"/>
        <v>tronics</v>
      </c>
      <c r="Q158" s="27" t="str">
        <f t="shared" si="16"/>
        <v>Electronics</v>
      </c>
      <c r="R158" s="27" t="str">
        <f t="shared" si="17"/>
        <v>positionectronics</v>
      </c>
      <c r="S158" s="27" t="str">
        <f t="shared" si="18"/>
        <v>10157-Electronics-(Europe)</v>
      </c>
      <c r="T158" s="27"/>
    </row>
    <row r="159" spans="1:20" x14ac:dyDescent="0.35">
      <c r="A159" s="4">
        <v>10158</v>
      </c>
      <c r="B159" s="5">
        <v>45449</v>
      </c>
      <c r="C159" s="6" t="s">
        <v>13</v>
      </c>
      <c r="D159" s="6" t="s">
        <v>176</v>
      </c>
      <c r="E159" s="6">
        <v>1</v>
      </c>
      <c r="F159" s="6">
        <v>499.95</v>
      </c>
      <c r="G159" s="6">
        <v>499.95</v>
      </c>
      <c r="H159" s="6" t="s">
        <v>15</v>
      </c>
      <c r="I159" s="7" t="s">
        <v>16</v>
      </c>
      <c r="J159" s="22">
        <f>(Table1[[#This Row],[Total Revenue]] * 0.18) + Table1[[#This Row],[Total Revenue]]</f>
        <v>589.94100000000003</v>
      </c>
      <c r="K159" s="6" t="str">
        <f>TRIM(Table1[[#This Row],[Product Name]])</f>
        <v>Breville Nespresso Creatista Plus</v>
      </c>
      <c r="L159" s="6" t="str">
        <f>UPPER(Table1[[#This Row],[Trimmed words]])</f>
        <v>BREVILLE NESPRESSO CREATISTA PLUS</v>
      </c>
      <c r="M159" s="26" t="str">
        <f>LOWER(Table1[[#This Row],[Upper function]])</f>
        <v>breville nespresso creatista plus</v>
      </c>
      <c r="N159" s="26" t="str">
        <f t="shared" si="13"/>
        <v>Hom</v>
      </c>
      <c r="O159" s="26" t="str">
        <f t="shared" si="14"/>
        <v>e Applia</v>
      </c>
      <c r="P159" s="27" t="str">
        <f t="shared" si="15"/>
        <v>liances</v>
      </c>
      <c r="Q159" s="27" t="str">
        <f t="shared" si="16"/>
        <v>Home Appliwordnces</v>
      </c>
      <c r="R159" s="27" t="str">
        <f t="shared" si="17"/>
        <v>positionme Appliances</v>
      </c>
      <c r="S159" s="27" t="str">
        <f t="shared" si="18"/>
        <v>10158-Home Appliances-(Asia)</v>
      </c>
      <c r="T159" s="27"/>
    </row>
    <row r="160" spans="1:20" x14ac:dyDescent="0.35">
      <c r="A160" s="4">
        <v>10159</v>
      </c>
      <c r="B160" s="5">
        <v>45450</v>
      </c>
      <c r="C160" s="6" t="s">
        <v>17</v>
      </c>
      <c r="D160" s="6" t="s">
        <v>177</v>
      </c>
      <c r="E160" s="6">
        <v>4</v>
      </c>
      <c r="F160" s="6">
        <v>24.99</v>
      </c>
      <c r="G160" s="6">
        <v>99.96</v>
      </c>
      <c r="H160" s="6" t="s">
        <v>19</v>
      </c>
      <c r="I160" s="7" t="s">
        <v>20</v>
      </c>
      <c r="J160" s="22">
        <f>(Table1[[#This Row],[Total Revenue]] * 0.18) + Table1[[#This Row],[Total Revenue]]</f>
        <v>117.9528</v>
      </c>
      <c r="K160" s="6" t="str">
        <f>TRIM(Table1[[#This Row],[Product Name]])</f>
        <v>Under Armour Tech 2.0 T-Shirt</v>
      </c>
      <c r="L160" s="6" t="str">
        <f>UPPER(Table1[[#This Row],[Trimmed words]])</f>
        <v>UNDER ARMOUR TECH 2.0 T-SHIRT</v>
      </c>
      <c r="M160" s="26" t="str">
        <f>LOWER(Table1[[#This Row],[Upper function]])</f>
        <v>under armour tech 2.0 t-shirt</v>
      </c>
      <c r="N160" s="26" t="str">
        <f t="shared" si="13"/>
        <v>Clo</v>
      </c>
      <c r="O160" s="26" t="str">
        <f t="shared" si="14"/>
        <v>thing</v>
      </c>
      <c r="P160" s="27" t="str">
        <f t="shared" si="15"/>
        <v>lothing</v>
      </c>
      <c r="Q160" s="27" t="str">
        <f t="shared" si="16"/>
        <v>Clothing</v>
      </c>
      <c r="R160" s="27" t="str">
        <f t="shared" si="17"/>
        <v>positionothing</v>
      </c>
      <c r="S160" s="27" t="str">
        <f t="shared" si="18"/>
        <v>10159-Clothing-(North America)</v>
      </c>
      <c r="T160" s="27"/>
    </row>
    <row r="161" spans="1:20" x14ac:dyDescent="0.35">
      <c r="A161" s="4">
        <v>10160</v>
      </c>
      <c r="B161" s="5">
        <v>45451</v>
      </c>
      <c r="C161" s="6" t="s">
        <v>21</v>
      </c>
      <c r="D161" s="6" t="s">
        <v>178</v>
      </c>
      <c r="E161" s="6">
        <v>3</v>
      </c>
      <c r="F161" s="6">
        <v>7.99</v>
      </c>
      <c r="G161" s="6">
        <v>23.97</v>
      </c>
      <c r="H161" s="6" t="s">
        <v>11</v>
      </c>
      <c r="I161" s="7" t="s">
        <v>12</v>
      </c>
      <c r="J161" s="22">
        <f>(Table1[[#This Row],[Total Revenue]] * 0.18) + Table1[[#This Row],[Total Revenue]]</f>
        <v>28.284599999999998</v>
      </c>
      <c r="K161" s="6" t="str">
        <f>TRIM(Table1[[#This Row],[Product Name]])</f>
        <v>The Art of War by Sun Tzu</v>
      </c>
      <c r="L161" s="6" t="str">
        <f>UPPER(Table1[[#This Row],[Trimmed words]])</f>
        <v>THE ART OF WAR BY SUN TZU</v>
      </c>
      <c r="M161" s="26" t="str">
        <f>LOWER(Table1[[#This Row],[Upper function]])</f>
        <v>the art of war by sun tzu</v>
      </c>
      <c r="N161" s="26" t="str">
        <f t="shared" si="13"/>
        <v>Boo</v>
      </c>
      <c r="O161" s="26" t="str">
        <f t="shared" si="14"/>
        <v>ks</v>
      </c>
      <c r="P161" s="27" t="str">
        <f t="shared" si="15"/>
        <v>Books</v>
      </c>
      <c r="Q161" s="27" t="str">
        <f t="shared" si="16"/>
        <v>Books</v>
      </c>
      <c r="R161" s="27" t="str">
        <f t="shared" si="17"/>
        <v>positionoks</v>
      </c>
      <c r="S161" s="27" t="str">
        <f t="shared" si="18"/>
        <v>10160-Books-(Europe)</v>
      </c>
      <c r="T161" s="27"/>
    </row>
    <row r="162" spans="1:20" x14ac:dyDescent="0.35">
      <c r="A162" s="4">
        <v>10161</v>
      </c>
      <c r="B162" s="5">
        <v>45452</v>
      </c>
      <c r="C162" s="6" t="s">
        <v>23</v>
      </c>
      <c r="D162" s="6" t="s">
        <v>179</v>
      </c>
      <c r="E162" s="6">
        <v>1</v>
      </c>
      <c r="F162" s="6">
        <v>36</v>
      </c>
      <c r="G162" s="6">
        <v>36</v>
      </c>
      <c r="H162" s="6" t="s">
        <v>15</v>
      </c>
      <c r="I162" s="7" t="s">
        <v>16</v>
      </c>
      <c r="J162" s="22">
        <f>(Table1[[#This Row],[Total Revenue]] * 0.18) + Table1[[#This Row],[Total Revenue]]</f>
        <v>42.48</v>
      </c>
      <c r="K162" s="6" t="str">
        <f>TRIM(Table1[[#This Row],[Product Name]])</f>
        <v>Youth to the People Superfood Antioxidant Cleanser</v>
      </c>
      <c r="L162" s="6" t="str">
        <f>UPPER(Table1[[#This Row],[Trimmed words]])</f>
        <v>YOUTH TO THE PEOPLE SUPERFOOD ANTIOXIDANT CLEANSER</v>
      </c>
      <c r="M162" s="26" t="str">
        <f>LOWER(Table1[[#This Row],[Upper function]])</f>
        <v>youth to the people superfood antioxidant cleanser</v>
      </c>
      <c r="N162" s="26" t="str">
        <f t="shared" si="13"/>
        <v>Bea</v>
      </c>
      <c r="O162" s="26" t="str">
        <f t="shared" si="14"/>
        <v>uty Prod</v>
      </c>
      <c r="P162" s="27" t="str">
        <f t="shared" si="15"/>
        <v>roducts</v>
      </c>
      <c r="Q162" s="27" t="str">
        <f t="shared" si="16"/>
        <v>Beworduty Products</v>
      </c>
      <c r="R162" s="27" t="str">
        <f t="shared" si="17"/>
        <v>positionauty Products</v>
      </c>
      <c r="S162" s="27" t="str">
        <f t="shared" si="18"/>
        <v>10161-Beauty Products-(Asia)</v>
      </c>
      <c r="T162" s="27"/>
    </row>
    <row r="163" spans="1:20" x14ac:dyDescent="0.35">
      <c r="A163" s="4">
        <v>10162</v>
      </c>
      <c r="B163" s="5">
        <v>45453</v>
      </c>
      <c r="C163" s="6" t="s">
        <v>25</v>
      </c>
      <c r="D163" s="6" t="s">
        <v>180</v>
      </c>
      <c r="E163" s="6">
        <v>2</v>
      </c>
      <c r="F163" s="6">
        <v>34.99</v>
      </c>
      <c r="G163" s="6">
        <v>69.98</v>
      </c>
      <c r="H163" s="6" t="s">
        <v>19</v>
      </c>
      <c r="I163" s="7" t="s">
        <v>12</v>
      </c>
      <c r="J163" s="22">
        <f>(Table1[[#This Row],[Total Revenue]] * 0.18) + Table1[[#This Row],[Total Revenue]]</f>
        <v>82.576400000000007</v>
      </c>
      <c r="K163" s="6" t="str">
        <f>TRIM(Table1[[#This Row],[Product Name]])</f>
        <v>TriggerPoint GRID Foam Roller</v>
      </c>
      <c r="L163" s="6" t="str">
        <f>UPPER(Table1[[#This Row],[Trimmed words]])</f>
        <v>TRIGGERPOINT GRID FOAM ROLLER</v>
      </c>
      <c r="M163" s="26" t="str">
        <f>LOWER(Table1[[#This Row],[Upper function]])</f>
        <v>triggerpoint grid foam roller</v>
      </c>
      <c r="N163" s="26" t="str">
        <f t="shared" si="13"/>
        <v>Spo</v>
      </c>
      <c r="O163" s="26" t="str">
        <f t="shared" si="14"/>
        <v>rts</v>
      </c>
      <c r="P163" s="27" t="str">
        <f t="shared" si="15"/>
        <v>Sports</v>
      </c>
      <c r="Q163" s="27" t="str">
        <f t="shared" si="16"/>
        <v>Sports</v>
      </c>
      <c r="R163" s="27" t="str">
        <f t="shared" si="17"/>
        <v>positionorts</v>
      </c>
      <c r="S163" s="27" t="str">
        <f t="shared" si="18"/>
        <v>10162-Sports-(North America)</v>
      </c>
      <c r="T163" s="27"/>
    </row>
    <row r="164" spans="1:20" x14ac:dyDescent="0.35">
      <c r="A164" s="4">
        <v>10163</v>
      </c>
      <c r="B164" s="5">
        <v>45454</v>
      </c>
      <c r="C164" s="6" t="s">
        <v>9</v>
      </c>
      <c r="D164" s="6" t="s">
        <v>181</v>
      </c>
      <c r="E164" s="6">
        <v>1</v>
      </c>
      <c r="F164" s="6">
        <v>1199.99</v>
      </c>
      <c r="G164" s="6">
        <v>1199.99</v>
      </c>
      <c r="H164" s="6" t="s">
        <v>11</v>
      </c>
      <c r="I164" s="7" t="s">
        <v>12</v>
      </c>
      <c r="J164" s="22">
        <f>(Table1[[#This Row],[Total Revenue]] * 0.18) + Table1[[#This Row],[Total Revenue]]</f>
        <v>1415.9882</v>
      </c>
      <c r="K164" s="6" t="str">
        <f>TRIM(Table1[[#This Row],[Product Name]])</f>
        <v>Apple MacBook Air</v>
      </c>
      <c r="L164" s="6" t="str">
        <f>UPPER(Table1[[#This Row],[Trimmed words]])</f>
        <v>APPLE MACBOOK AIR</v>
      </c>
      <c r="M164" s="26" t="str">
        <f>LOWER(Table1[[#This Row],[Upper function]])</f>
        <v>apple macbook air</v>
      </c>
      <c r="N164" s="26" t="str">
        <f t="shared" si="13"/>
        <v>Ele</v>
      </c>
      <c r="O164" s="26" t="str">
        <f t="shared" si="14"/>
        <v>ctronics</v>
      </c>
      <c r="P164" s="27" t="str">
        <f t="shared" si="15"/>
        <v>tronics</v>
      </c>
      <c r="Q164" s="27" t="str">
        <f t="shared" si="16"/>
        <v>Electronics</v>
      </c>
      <c r="R164" s="27" t="str">
        <f t="shared" si="17"/>
        <v>positionectronics</v>
      </c>
      <c r="S164" s="27" t="str">
        <f t="shared" si="18"/>
        <v>10163-Electronics-(Europe)</v>
      </c>
      <c r="T164" s="27"/>
    </row>
    <row r="165" spans="1:20" x14ac:dyDescent="0.35">
      <c r="A165" s="4">
        <v>10164</v>
      </c>
      <c r="B165" s="5">
        <v>45455</v>
      </c>
      <c r="C165" s="6" t="s">
        <v>13</v>
      </c>
      <c r="D165" s="6" t="s">
        <v>182</v>
      </c>
      <c r="E165" s="6">
        <v>1</v>
      </c>
      <c r="F165" s="6">
        <v>199.99</v>
      </c>
      <c r="G165" s="6">
        <v>199.99</v>
      </c>
      <c r="H165" s="6" t="s">
        <v>15</v>
      </c>
      <c r="I165" s="7" t="s">
        <v>16</v>
      </c>
      <c r="J165" s="22">
        <f>(Table1[[#This Row],[Total Revenue]] * 0.18) + Table1[[#This Row],[Total Revenue]]</f>
        <v>235.98820000000001</v>
      </c>
      <c r="K165" s="6" t="str">
        <f>TRIM(Table1[[#This Row],[Product Name]])</f>
        <v>Cuisinart Custom 14-Cup Food Processor</v>
      </c>
      <c r="L165" s="6" t="str">
        <f>UPPER(Table1[[#This Row],[Trimmed words]])</f>
        <v>CUISINART CUSTOM 14-CUP FOOD PROCESSOR</v>
      </c>
      <c r="M165" s="26" t="str">
        <f>LOWER(Table1[[#This Row],[Upper function]])</f>
        <v>cuisinart custom 14-cup food processor</v>
      </c>
      <c r="N165" s="26" t="str">
        <f t="shared" si="13"/>
        <v>Hom</v>
      </c>
      <c r="O165" s="26" t="str">
        <f t="shared" si="14"/>
        <v>e Applia</v>
      </c>
      <c r="P165" s="27" t="str">
        <f t="shared" si="15"/>
        <v>liances</v>
      </c>
      <c r="Q165" s="27" t="str">
        <f t="shared" si="16"/>
        <v>Home Appliwordnces</v>
      </c>
      <c r="R165" s="27" t="str">
        <f t="shared" si="17"/>
        <v>positionme Appliances</v>
      </c>
      <c r="S165" s="27" t="str">
        <f t="shared" si="18"/>
        <v>10164-Home Appliances-(Asia)</v>
      </c>
      <c r="T165" s="27"/>
    </row>
    <row r="166" spans="1:20" x14ac:dyDescent="0.35">
      <c r="A166" s="4">
        <v>10165</v>
      </c>
      <c r="B166" s="5">
        <v>45456</v>
      </c>
      <c r="C166" s="6" t="s">
        <v>17</v>
      </c>
      <c r="D166" s="6" t="s">
        <v>183</v>
      </c>
      <c r="E166" s="6">
        <v>5</v>
      </c>
      <c r="F166" s="6">
        <v>29.99</v>
      </c>
      <c r="G166" s="6">
        <v>149.94999999999999</v>
      </c>
      <c r="H166" s="6" t="s">
        <v>19</v>
      </c>
      <c r="I166" s="7" t="s">
        <v>20</v>
      </c>
      <c r="J166" s="22">
        <f>(Table1[[#This Row],[Total Revenue]] * 0.18) + Table1[[#This Row],[Total Revenue]]</f>
        <v>176.94099999999997</v>
      </c>
      <c r="K166" s="6" t="str">
        <f>TRIM(Table1[[#This Row],[Product Name]])</f>
        <v>Adidas 3-Stripes Shorts</v>
      </c>
      <c r="L166" s="6" t="str">
        <f>UPPER(Table1[[#This Row],[Trimmed words]])</f>
        <v>ADIDAS 3-STRIPES SHORTS</v>
      </c>
      <c r="M166" s="26" t="str">
        <f>LOWER(Table1[[#This Row],[Upper function]])</f>
        <v>adidas 3-stripes shorts</v>
      </c>
      <c r="N166" s="26" t="str">
        <f t="shared" si="13"/>
        <v>Clo</v>
      </c>
      <c r="O166" s="26" t="str">
        <f t="shared" si="14"/>
        <v>thing</v>
      </c>
      <c r="P166" s="27" t="str">
        <f t="shared" si="15"/>
        <v>lothing</v>
      </c>
      <c r="Q166" s="27" t="str">
        <f t="shared" si="16"/>
        <v>Clothing</v>
      </c>
      <c r="R166" s="27" t="str">
        <f t="shared" si="17"/>
        <v>positionothing</v>
      </c>
      <c r="S166" s="27" t="str">
        <f t="shared" si="18"/>
        <v>10165-Clothing-(North America)</v>
      </c>
      <c r="T166" s="27"/>
    </row>
    <row r="167" spans="1:20" x14ac:dyDescent="0.35">
      <c r="A167" s="4">
        <v>10166</v>
      </c>
      <c r="B167" s="5">
        <v>45457</v>
      </c>
      <c r="C167" s="6" t="s">
        <v>21</v>
      </c>
      <c r="D167" s="6" t="s">
        <v>184</v>
      </c>
      <c r="E167" s="6">
        <v>4</v>
      </c>
      <c r="F167" s="6">
        <v>8.99</v>
      </c>
      <c r="G167" s="6">
        <v>35.96</v>
      </c>
      <c r="H167" s="6" t="s">
        <v>11</v>
      </c>
      <c r="I167" s="7" t="s">
        <v>12</v>
      </c>
      <c r="J167" s="22">
        <f>(Table1[[#This Row],[Total Revenue]] * 0.18) + Table1[[#This Row],[Total Revenue]]</f>
        <v>42.4328</v>
      </c>
      <c r="K167" s="6" t="str">
        <f>TRIM(Table1[[#This Row],[Product Name]])</f>
        <v>The Hunger Games by Suzanne Collins</v>
      </c>
      <c r="L167" s="6" t="str">
        <f>UPPER(Table1[[#This Row],[Trimmed words]])</f>
        <v>THE HUNGER GAMES BY SUZANNE COLLINS</v>
      </c>
      <c r="M167" s="26" t="str">
        <f>LOWER(Table1[[#This Row],[Upper function]])</f>
        <v>the hunger games by suzanne collins</v>
      </c>
      <c r="N167" s="26" t="str">
        <f t="shared" si="13"/>
        <v>Boo</v>
      </c>
      <c r="O167" s="26" t="str">
        <f t="shared" si="14"/>
        <v>ks</v>
      </c>
      <c r="P167" s="27" t="str">
        <f t="shared" si="15"/>
        <v>Books</v>
      </c>
      <c r="Q167" s="27" t="str">
        <f t="shared" si="16"/>
        <v>Books</v>
      </c>
      <c r="R167" s="27" t="str">
        <f t="shared" si="17"/>
        <v>positionoks</v>
      </c>
      <c r="S167" s="27" t="str">
        <f t="shared" si="18"/>
        <v>10166-Books-(Europe)</v>
      </c>
      <c r="T167" s="27"/>
    </row>
    <row r="168" spans="1:20" x14ac:dyDescent="0.35">
      <c r="A168" s="4">
        <v>10167</v>
      </c>
      <c r="B168" s="5">
        <v>45458</v>
      </c>
      <c r="C168" s="6" t="s">
        <v>23</v>
      </c>
      <c r="D168" s="6" t="s">
        <v>185</v>
      </c>
      <c r="E168" s="6">
        <v>1</v>
      </c>
      <c r="F168" s="6">
        <v>16.989999999999998</v>
      </c>
      <c r="G168" s="6">
        <v>16.989999999999998</v>
      </c>
      <c r="H168" s="6" t="s">
        <v>15</v>
      </c>
      <c r="I168" s="7" t="s">
        <v>16</v>
      </c>
      <c r="J168" s="22">
        <f>(Table1[[#This Row],[Total Revenue]] * 0.18) + Table1[[#This Row],[Total Revenue]]</f>
        <v>20.048199999999998</v>
      </c>
      <c r="K168" s="6" t="str">
        <f>TRIM(Table1[[#This Row],[Product Name]])</f>
        <v>Neutrogena Hydro Boost Water Gel</v>
      </c>
      <c r="L168" s="6" t="str">
        <f>UPPER(Table1[[#This Row],[Trimmed words]])</f>
        <v>NEUTROGENA HYDRO BOOST WATER GEL</v>
      </c>
      <c r="M168" s="26" t="str">
        <f>LOWER(Table1[[#This Row],[Upper function]])</f>
        <v>neutrogena hydro boost water gel</v>
      </c>
      <c r="N168" s="26" t="str">
        <f t="shared" si="13"/>
        <v>Bea</v>
      </c>
      <c r="O168" s="26" t="str">
        <f t="shared" si="14"/>
        <v>uty Prod</v>
      </c>
      <c r="P168" s="27" t="str">
        <f t="shared" si="15"/>
        <v>roducts</v>
      </c>
      <c r="Q168" s="27" t="str">
        <f t="shared" si="16"/>
        <v>Beworduty Products</v>
      </c>
      <c r="R168" s="27" t="str">
        <f t="shared" si="17"/>
        <v>positionauty Products</v>
      </c>
      <c r="S168" s="27" t="str">
        <f t="shared" si="18"/>
        <v>10167-Beauty Products-(Asia)</v>
      </c>
      <c r="T168" s="27"/>
    </row>
    <row r="169" spans="1:20" x14ac:dyDescent="0.35">
      <c r="A169" s="4">
        <v>10168</v>
      </c>
      <c r="B169" s="5">
        <v>45459</v>
      </c>
      <c r="C169" s="6" t="s">
        <v>25</v>
      </c>
      <c r="D169" s="6" t="s">
        <v>186</v>
      </c>
      <c r="E169" s="6">
        <v>3</v>
      </c>
      <c r="F169" s="6">
        <v>49.99</v>
      </c>
      <c r="G169" s="6">
        <v>149.97</v>
      </c>
      <c r="H169" s="6" t="s">
        <v>19</v>
      </c>
      <c r="I169" s="7" t="s">
        <v>12</v>
      </c>
      <c r="J169" s="22">
        <f>(Table1[[#This Row],[Total Revenue]] * 0.18) + Table1[[#This Row],[Total Revenue]]</f>
        <v>176.96459999999999</v>
      </c>
      <c r="K169" s="6" t="str">
        <f>TRIM(Table1[[#This Row],[Product Name]])</f>
        <v>Yeti Rambler Bottle</v>
      </c>
      <c r="L169" s="6" t="str">
        <f>UPPER(Table1[[#This Row],[Trimmed words]])</f>
        <v>YETI RAMBLER BOTTLE</v>
      </c>
      <c r="M169" s="26" t="str">
        <f>LOWER(Table1[[#This Row],[Upper function]])</f>
        <v>yeti rambler bottle</v>
      </c>
      <c r="N169" s="26" t="str">
        <f t="shared" si="13"/>
        <v>Spo</v>
      </c>
      <c r="O169" s="26" t="str">
        <f t="shared" si="14"/>
        <v>rts</v>
      </c>
      <c r="P169" s="27" t="str">
        <f t="shared" si="15"/>
        <v>Sports</v>
      </c>
      <c r="Q169" s="27" t="str">
        <f t="shared" si="16"/>
        <v>Sports</v>
      </c>
      <c r="R169" s="27" t="str">
        <f t="shared" si="17"/>
        <v>positionorts</v>
      </c>
      <c r="S169" s="27" t="str">
        <f t="shared" si="18"/>
        <v>10168-Sports-(North America)</v>
      </c>
      <c r="T169" s="27"/>
    </row>
    <row r="170" spans="1:20" x14ac:dyDescent="0.35">
      <c r="A170" s="4">
        <v>10169</v>
      </c>
      <c r="B170" s="5">
        <v>45460</v>
      </c>
      <c r="C170" s="6" t="s">
        <v>9</v>
      </c>
      <c r="D170" s="6" t="s">
        <v>187</v>
      </c>
      <c r="E170" s="6">
        <v>1</v>
      </c>
      <c r="F170" s="6">
        <v>699.99</v>
      </c>
      <c r="G170" s="6">
        <v>699.99</v>
      </c>
      <c r="H170" s="6" t="s">
        <v>11</v>
      </c>
      <c r="I170" s="7" t="s">
        <v>12</v>
      </c>
      <c r="J170" s="22">
        <f>(Table1[[#This Row],[Total Revenue]] * 0.18) + Table1[[#This Row],[Total Revenue]]</f>
        <v>825.98820000000001</v>
      </c>
      <c r="K170" s="6" t="str">
        <f>TRIM(Table1[[#This Row],[Product Name]])</f>
        <v>Samsung Odyssey G7 Gaming Monitor</v>
      </c>
      <c r="L170" s="6" t="str">
        <f>UPPER(Table1[[#This Row],[Trimmed words]])</f>
        <v>SAMSUNG ODYSSEY G7 GAMING MONITOR</v>
      </c>
      <c r="M170" s="26" t="str">
        <f>LOWER(Table1[[#This Row],[Upper function]])</f>
        <v>samsung odyssey g7 gaming monitor</v>
      </c>
      <c r="N170" s="26" t="str">
        <f t="shared" si="13"/>
        <v>Ele</v>
      </c>
      <c r="O170" s="26" t="str">
        <f t="shared" si="14"/>
        <v>ctronics</v>
      </c>
      <c r="P170" s="27" t="str">
        <f t="shared" si="15"/>
        <v>tronics</v>
      </c>
      <c r="Q170" s="27" t="str">
        <f t="shared" si="16"/>
        <v>Electronics</v>
      </c>
      <c r="R170" s="27" t="str">
        <f t="shared" si="17"/>
        <v>positionectronics</v>
      </c>
      <c r="S170" s="27" t="str">
        <f t="shared" si="18"/>
        <v>10169-Electronics-(Europe)</v>
      </c>
      <c r="T170" s="27"/>
    </row>
    <row r="171" spans="1:20" x14ac:dyDescent="0.35">
      <c r="A171" s="4">
        <v>10170</v>
      </c>
      <c r="B171" s="5">
        <v>45461</v>
      </c>
      <c r="C171" s="6" t="s">
        <v>13</v>
      </c>
      <c r="D171" s="6" t="s">
        <v>188</v>
      </c>
      <c r="E171" s="6">
        <v>2</v>
      </c>
      <c r="F171" s="6">
        <v>139.99</v>
      </c>
      <c r="G171" s="6">
        <v>279.98</v>
      </c>
      <c r="H171" s="6" t="s">
        <v>15</v>
      </c>
      <c r="I171" s="7" t="s">
        <v>16</v>
      </c>
      <c r="J171" s="22">
        <f>(Table1[[#This Row],[Total Revenue]] * 0.18) + Table1[[#This Row],[Total Revenue]]</f>
        <v>330.37639999999999</v>
      </c>
      <c r="K171" s="6" t="str">
        <f>TRIM(Table1[[#This Row],[Product Name]])</f>
        <v>Instant Pot Duo Evo Plus</v>
      </c>
      <c r="L171" s="6" t="str">
        <f>UPPER(Table1[[#This Row],[Trimmed words]])</f>
        <v>INSTANT POT DUO EVO PLUS</v>
      </c>
      <c r="M171" s="26" t="str">
        <f>LOWER(Table1[[#This Row],[Upper function]])</f>
        <v>instant pot duo evo plus</v>
      </c>
      <c r="N171" s="26" t="str">
        <f t="shared" si="13"/>
        <v>Hom</v>
      </c>
      <c r="O171" s="26" t="str">
        <f t="shared" si="14"/>
        <v>e Applia</v>
      </c>
      <c r="P171" s="27" t="str">
        <f t="shared" si="15"/>
        <v>liances</v>
      </c>
      <c r="Q171" s="27" t="str">
        <f t="shared" si="16"/>
        <v>Home Appliwordnces</v>
      </c>
      <c r="R171" s="27" t="str">
        <f t="shared" si="17"/>
        <v>positionme Appliances</v>
      </c>
      <c r="S171" s="27" t="str">
        <f t="shared" si="18"/>
        <v>10170-Home Appliances-(Asia)</v>
      </c>
      <c r="T171" s="27"/>
    </row>
    <row r="172" spans="1:20" x14ac:dyDescent="0.35">
      <c r="A172" s="4">
        <v>10171</v>
      </c>
      <c r="B172" s="5">
        <v>45462</v>
      </c>
      <c r="C172" s="6" t="s">
        <v>17</v>
      </c>
      <c r="D172" s="6" t="s">
        <v>189</v>
      </c>
      <c r="E172" s="6">
        <v>3</v>
      </c>
      <c r="F172" s="6">
        <v>34.99</v>
      </c>
      <c r="G172" s="6">
        <v>104.97</v>
      </c>
      <c r="H172" s="6" t="s">
        <v>19</v>
      </c>
      <c r="I172" s="7" t="s">
        <v>20</v>
      </c>
      <c r="J172" s="22">
        <f>(Table1[[#This Row],[Total Revenue]] * 0.18) + Table1[[#This Row],[Total Revenue]]</f>
        <v>123.8646</v>
      </c>
      <c r="K172" s="6" t="str">
        <f>TRIM(Table1[[#This Row],[Product Name]])</f>
        <v>Nike Tempo Running Shorts</v>
      </c>
      <c r="L172" s="6" t="str">
        <f>UPPER(Table1[[#This Row],[Trimmed words]])</f>
        <v>NIKE TEMPO RUNNING SHORTS</v>
      </c>
      <c r="M172" s="26" t="str">
        <f>LOWER(Table1[[#This Row],[Upper function]])</f>
        <v>nike tempo running shorts</v>
      </c>
      <c r="N172" s="26" t="str">
        <f t="shared" si="13"/>
        <v>Clo</v>
      </c>
      <c r="O172" s="26" t="str">
        <f t="shared" si="14"/>
        <v>thing</v>
      </c>
      <c r="P172" s="27" t="str">
        <f t="shared" si="15"/>
        <v>lothing</v>
      </c>
      <c r="Q172" s="27" t="str">
        <f t="shared" si="16"/>
        <v>Clothing</v>
      </c>
      <c r="R172" s="27" t="str">
        <f t="shared" si="17"/>
        <v>positionothing</v>
      </c>
      <c r="S172" s="27" t="str">
        <f t="shared" si="18"/>
        <v>10171-Clothing-(North America)</v>
      </c>
      <c r="T172" s="27"/>
    </row>
    <row r="173" spans="1:20" x14ac:dyDescent="0.35">
      <c r="A173" s="4">
        <v>10172</v>
      </c>
      <c r="B173" s="5">
        <v>45463</v>
      </c>
      <c r="C173" s="6" t="s">
        <v>21</v>
      </c>
      <c r="D173" s="6" t="s">
        <v>190</v>
      </c>
      <c r="E173" s="6">
        <v>2</v>
      </c>
      <c r="F173" s="6">
        <v>9.99</v>
      </c>
      <c r="G173" s="6">
        <v>19.98</v>
      </c>
      <c r="H173" s="6" t="s">
        <v>11</v>
      </c>
      <c r="I173" s="7" t="s">
        <v>12</v>
      </c>
      <c r="J173" s="22">
        <f>(Table1[[#This Row],[Total Revenue]] * 0.18) + Table1[[#This Row],[Total Revenue]]</f>
        <v>23.5764</v>
      </c>
      <c r="K173" s="6" t="str">
        <f>TRIM(Table1[[#This Row],[Product Name]])</f>
        <v>The Girl with the Dragon Tattoo by Stieg Larsson</v>
      </c>
      <c r="L173" s="6" t="str">
        <f>UPPER(Table1[[#This Row],[Trimmed words]])</f>
        <v>THE GIRL WITH THE DRAGON TATTOO BY STIEG LARSSON</v>
      </c>
      <c r="M173" s="26" t="str">
        <f>LOWER(Table1[[#This Row],[Upper function]])</f>
        <v>the girl with the dragon tattoo by stieg larsson</v>
      </c>
      <c r="N173" s="26" t="str">
        <f t="shared" si="13"/>
        <v>Boo</v>
      </c>
      <c r="O173" s="26" t="str">
        <f t="shared" si="14"/>
        <v>ks</v>
      </c>
      <c r="P173" s="27" t="str">
        <f t="shared" si="15"/>
        <v>Books</v>
      </c>
      <c r="Q173" s="27" t="str">
        <f t="shared" si="16"/>
        <v>Books</v>
      </c>
      <c r="R173" s="27" t="str">
        <f t="shared" si="17"/>
        <v>positionoks</v>
      </c>
      <c r="S173" s="27" t="str">
        <f t="shared" si="18"/>
        <v>10172-Books-(Europe)</v>
      </c>
      <c r="T173" s="27"/>
    </row>
    <row r="174" spans="1:20" x14ac:dyDescent="0.35">
      <c r="A174" s="4">
        <v>10173</v>
      </c>
      <c r="B174" s="5">
        <v>45464</v>
      </c>
      <c r="C174" s="6" t="s">
        <v>23</v>
      </c>
      <c r="D174" s="6" t="s">
        <v>191</v>
      </c>
      <c r="E174" s="6">
        <v>1</v>
      </c>
      <c r="F174" s="6">
        <v>29.5</v>
      </c>
      <c r="G174" s="6">
        <v>29.5</v>
      </c>
      <c r="H174" s="6" t="s">
        <v>15</v>
      </c>
      <c r="I174" s="7" t="s">
        <v>16</v>
      </c>
      <c r="J174" s="22">
        <f>(Table1[[#This Row],[Total Revenue]] * 0.18) + Table1[[#This Row],[Total Revenue]]</f>
        <v>34.81</v>
      </c>
      <c r="K174" s="6" t="str">
        <f>TRIM(Table1[[#This Row],[Product Name]])</f>
        <v>Paula's Choice Skin Perfecting 2% BHA Liquid Exfoliant</v>
      </c>
      <c r="L174" s="6" t="str">
        <f>UPPER(Table1[[#This Row],[Trimmed words]])</f>
        <v>PAULA'S CHOICE SKIN PERFECTING 2% BHA LIQUID EXFOLIANT</v>
      </c>
      <c r="M174" s="26" t="str">
        <f>LOWER(Table1[[#This Row],[Upper function]])</f>
        <v>paula's choice skin perfecting 2% bha liquid exfoliant</v>
      </c>
      <c r="N174" s="26" t="str">
        <f t="shared" si="13"/>
        <v>Bea</v>
      </c>
      <c r="O174" s="26" t="str">
        <f t="shared" si="14"/>
        <v>uty Prod</v>
      </c>
      <c r="P174" s="27" t="str">
        <f t="shared" si="15"/>
        <v>roducts</v>
      </c>
      <c r="Q174" s="27" t="str">
        <f t="shared" si="16"/>
        <v>Beworduty Products</v>
      </c>
      <c r="R174" s="27" t="str">
        <f t="shared" si="17"/>
        <v>positionauty Products</v>
      </c>
      <c r="S174" s="27" t="str">
        <f t="shared" si="18"/>
        <v>10173-Beauty Products-(Asia)</v>
      </c>
      <c r="T174" s="27"/>
    </row>
    <row r="175" spans="1:20" x14ac:dyDescent="0.35">
      <c r="A175" s="4">
        <v>10174</v>
      </c>
      <c r="B175" s="5">
        <v>45465</v>
      </c>
      <c r="C175" s="6" t="s">
        <v>25</v>
      </c>
      <c r="D175" s="6" t="s">
        <v>192</v>
      </c>
      <c r="E175" s="6">
        <v>1</v>
      </c>
      <c r="F175" s="6">
        <v>699.99</v>
      </c>
      <c r="G175" s="6">
        <v>699.99</v>
      </c>
      <c r="H175" s="6" t="s">
        <v>19</v>
      </c>
      <c r="I175" s="7" t="s">
        <v>12</v>
      </c>
      <c r="J175" s="22">
        <f>(Table1[[#This Row],[Total Revenue]] * 0.18) + Table1[[#This Row],[Total Revenue]]</f>
        <v>825.98820000000001</v>
      </c>
      <c r="K175" s="6" t="str">
        <f>TRIM(Table1[[#This Row],[Product Name]])</f>
        <v>Bowflex SelectTech 1090 Adjustable Dumbbells</v>
      </c>
      <c r="L175" s="6" t="str">
        <f>UPPER(Table1[[#This Row],[Trimmed words]])</f>
        <v>BOWFLEX SELECTTECH 1090 ADJUSTABLE DUMBBELLS</v>
      </c>
      <c r="M175" s="26" t="str">
        <f>LOWER(Table1[[#This Row],[Upper function]])</f>
        <v>bowflex selecttech 1090 adjustable dumbbells</v>
      </c>
      <c r="N175" s="26" t="str">
        <f t="shared" si="13"/>
        <v>Spo</v>
      </c>
      <c r="O175" s="26" t="str">
        <f t="shared" si="14"/>
        <v>rts</v>
      </c>
      <c r="P175" s="27" t="str">
        <f t="shared" si="15"/>
        <v>Sports</v>
      </c>
      <c r="Q175" s="27" t="str">
        <f t="shared" si="16"/>
        <v>Sports</v>
      </c>
      <c r="R175" s="27" t="str">
        <f t="shared" si="17"/>
        <v>positionorts</v>
      </c>
      <c r="S175" s="27" t="str">
        <f t="shared" si="18"/>
        <v>10174-Sports-(North America)</v>
      </c>
      <c r="T175" s="27"/>
    </row>
    <row r="176" spans="1:20" x14ac:dyDescent="0.35">
      <c r="A176" s="4">
        <v>10175</v>
      </c>
      <c r="B176" s="5">
        <v>45466</v>
      </c>
      <c r="C176" s="6" t="s">
        <v>9</v>
      </c>
      <c r="D176" s="6" t="s">
        <v>193</v>
      </c>
      <c r="E176" s="6">
        <v>3</v>
      </c>
      <c r="F176" s="6">
        <v>49.99</v>
      </c>
      <c r="G176" s="6">
        <v>149.97</v>
      </c>
      <c r="H176" s="6" t="s">
        <v>11</v>
      </c>
      <c r="I176" s="7" t="s">
        <v>12</v>
      </c>
      <c r="J176" s="22">
        <f>(Table1[[#This Row],[Total Revenue]] * 0.18) + Table1[[#This Row],[Total Revenue]]</f>
        <v>176.96459999999999</v>
      </c>
      <c r="K176" s="6" t="str">
        <f>TRIM(Table1[[#This Row],[Product Name]])</f>
        <v>Amazon Fire TV Stick 4K</v>
      </c>
      <c r="L176" s="6" t="str">
        <f>UPPER(Table1[[#This Row],[Trimmed words]])</f>
        <v>AMAZON FIRE TV STICK 4K</v>
      </c>
      <c r="M176" s="26" t="str">
        <f>LOWER(Table1[[#This Row],[Upper function]])</f>
        <v>amazon fire tv stick 4k</v>
      </c>
      <c r="N176" s="26" t="str">
        <f t="shared" si="13"/>
        <v>Ele</v>
      </c>
      <c r="O176" s="26" t="str">
        <f t="shared" si="14"/>
        <v>ctronics</v>
      </c>
      <c r="P176" s="27" t="str">
        <f t="shared" si="15"/>
        <v>tronics</v>
      </c>
      <c r="Q176" s="27" t="str">
        <f t="shared" si="16"/>
        <v>Electronics</v>
      </c>
      <c r="R176" s="27" t="str">
        <f t="shared" si="17"/>
        <v>positionectronics</v>
      </c>
      <c r="S176" s="27" t="str">
        <f t="shared" si="18"/>
        <v>10175-Electronics-(Europe)</v>
      </c>
      <c r="T176" s="27"/>
    </row>
    <row r="177" spans="1:20" x14ac:dyDescent="0.35">
      <c r="A177" s="4">
        <v>10176</v>
      </c>
      <c r="B177" s="5">
        <v>45467</v>
      </c>
      <c r="C177" s="6" t="s">
        <v>13</v>
      </c>
      <c r="D177" s="6" t="s">
        <v>194</v>
      </c>
      <c r="E177" s="6">
        <v>2</v>
      </c>
      <c r="F177" s="6">
        <v>49.99</v>
      </c>
      <c r="G177" s="6">
        <v>99.98</v>
      </c>
      <c r="H177" s="6" t="s">
        <v>15</v>
      </c>
      <c r="I177" s="7" t="s">
        <v>16</v>
      </c>
      <c r="J177" s="22">
        <f>(Table1[[#This Row],[Total Revenue]] * 0.18) + Table1[[#This Row],[Total Revenue]]</f>
        <v>117.97640000000001</v>
      </c>
      <c r="K177" s="6" t="str">
        <f>TRIM(Table1[[#This Row],[Product Name]])</f>
        <v>Crock-Pot 6-Quart Slow Cooker</v>
      </c>
      <c r="L177" s="6" t="str">
        <f>UPPER(Table1[[#This Row],[Trimmed words]])</f>
        <v>CROCK-POT 6-QUART SLOW COOKER</v>
      </c>
      <c r="M177" s="26" t="str">
        <f>LOWER(Table1[[#This Row],[Upper function]])</f>
        <v>crock-pot 6-quart slow cooker</v>
      </c>
      <c r="N177" s="26" t="str">
        <f t="shared" si="13"/>
        <v>Hom</v>
      </c>
      <c r="O177" s="26" t="str">
        <f t="shared" si="14"/>
        <v>e Applia</v>
      </c>
      <c r="P177" s="27" t="str">
        <f t="shared" si="15"/>
        <v>liances</v>
      </c>
      <c r="Q177" s="27" t="str">
        <f t="shared" si="16"/>
        <v>Home Appliwordnces</v>
      </c>
      <c r="R177" s="27" t="str">
        <f t="shared" si="17"/>
        <v>positionme Appliances</v>
      </c>
      <c r="S177" s="27" t="str">
        <f t="shared" si="18"/>
        <v>10176-Home Appliances-(Asia)</v>
      </c>
      <c r="T177" s="27"/>
    </row>
    <row r="178" spans="1:20" x14ac:dyDescent="0.35">
      <c r="A178" s="4">
        <v>10177</v>
      </c>
      <c r="B178" s="5">
        <v>45468</v>
      </c>
      <c r="C178" s="6" t="s">
        <v>17</v>
      </c>
      <c r="D178" s="6" t="s">
        <v>195</v>
      </c>
      <c r="E178" s="6">
        <v>4</v>
      </c>
      <c r="F178" s="6">
        <v>14.9</v>
      </c>
      <c r="G178" s="6">
        <v>59.6</v>
      </c>
      <c r="H178" s="6" t="s">
        <v>19</v>
      </c>
      <c r="I178" s="7" t="s">
        <v>20</v>
      </c>
      <c r="J178" s="22">
        <f>(Table1[[#This Row],[Total Revenue]] * 0.18) + Table1[[#This Row],[Total Revenue]]</f>
        <v>70.328000000000003</v>
      </c>
      <c r="K178" s="6" t="str">
        <f>TRIM(Table1[[#This Row],[Product Name]])</f>
        <v>Uniqlo Airism Mesh Boxer Briefs</v>
      </c>
      <c r="L178" s="6" t="str">
        <f>UPPER(Table1[[#This Row],[Trimmed words]])</f>
        <v>UNIQLO AIRISM MESH BOXER BRIEFS</v>
      </c>
      <c r="M178" s="26" t="str">
        <f>LOWER(Table1[[#This Row],[Upper function]])</f>
        <v>uniqlo airism mesh boxer briefs</v>
      </c>
      <c r="N178" s="26" t="str">
        <f t="shared" si="13"/>
        <v>Clo</v>
      </c>
      <c r="O178" s="26" t="str">
        <f t="shared" si="14"/>
        <v>thing</v>
      </c>
      <c r="P178" s="27" t="str">
        <f t="shared" si="15"/>
        <v>lothing</v>
      </c>
      <c r="Q178" s="27" t="str">
        <f t="shared" si="16"/>
        <v>Clothing</v>
      </c>
      <c r="R178" s="27" t="str">
        <f t="shared" si="17"/>
        <v>positionothing</v>
      </c>
      <c r="S178" s="27" t="str">
        <f t="shared" si="18"/>
        <v>10177-Clothing-(North America)</v>
      </c>
      <c r="T178" s="27"/>
    </row>
    <row r="179" spans="1:20" x14ac:dyDescent="0.35">
      <c r="A179" s="4">
        <v>10178</v>
      </c>
      <c r="B179" s="5">
        <v>45469</v>
      </c>
      <c r="C179" s="6" t="s">
        <v>21</v>
      </c>
      <c r="D179" s="6" t="s">
        <v>196</v>
      </c>
      <c r="E179" s="6">
        <v>3</v>
      </c>
      <c r="F179" s="6">
        <v>11.99</v>
      </c>
      <c r="G179" s="6">
        <v>35.97</v>
      </c>
      <c r="H179" s="6" t="s">
        <v>11</v>
      </c>
      <c r="I179" s="7" t="s">
        <v>12</v>
      </c>
      <c r="J179" s="22">
        <f>(Table1[[#This Row],[Total Revenue]] * 0.18) + Table1[[#This Row],[Total Revenue]]</f>
        <v>42.444600000000001</v>
      </c>
      <c r="K179" s="6" t="str">
        <f>TRIM(Table1[[#This Row],[Product Name]])</f>
        <v>The Sun Also Rises by Ernest Hemingway</v>
      </c>
      <c r="L179" s="6" t="str">
        <f>UPPER(Table1[[#This Row],[Trimmed words]])</f>
        <v>THE SUN ALSO RISES BY ERNEST HEMINGWAY</v>
      </c>
      <c r="M179" s="26" t="str">
        <f>LOWER(Table1[[#This Row],[Upper function]])</f>
        <v>the sun also rises by ernest hemingway</v>
      </c>
      <c r="N179" s="26" t="str">
        <f t="shared" si="13"/>
        <v>Boo</v>
      </c>
      <c r="O179" s="26" t="str">
        <f t="shared" si="14"/>
        <v>ks</v>
      </c>
      <c r="P179" s="27" t="str">
        <f t="shared" si="15"/>
        <v>Books</v>
      </c>
      <c r="Q179" s="27" t="str">
        <f t="shared" si="16"/>
        <v>Books</v>
      </c>
      <c r="R179" s="27" t="str">
        <f t="shared" si="17"/>
        <v>positionoks</v>
      </c>
      <c r="S179" s="27" t="str">
        <f t="shared" si="18"/>
        <v>10178-Books-(Europe)</v>
      </c>
      <c r="T179" s="27"/>
    </row>
    <row r="180" spans="1:20" x14ac:dyDescent="0.35">
      <c r="A180" s="4">
        <v>10179</v>
      </c>
      <c r="B180" s="5">
        <v>45470</v>
      </c>
      <c r="C180" s="6" t="s">
        <v>23</v>
      </c>
      <c r="D180" s="6" t="s">
        <v>197</v>
      </c>
      <c r="E180" s="6">
        <v>2</v>
      </c>
      <c r="F180" s="6">
        <v>34</v>
      </c>
      <c r="G180" s="6">
        <v>68</v>
      </c>
      <c r="H180" s="6" t="s">
        <v>15</v>
      </c>
      <c r="I180" s="7" t="s">
        <v>16</v>
      </c>
      <c r="J180" s="22">
        <f>(Table1[[#This Row],[Total Revenue]] * 0.18) + Table1[[#This Row],[Total Revenue]]</f>
        <v>80.239999999999995</v>
      </c>
      <c r="K180" s="6" t="str">
        <f>TRIM(Table1[[#This Row],[Product Name]])</f>
        <v>First Aid Beauty Ultra Repair Cream</v>
      </c>
      <c r="L180" s="6" t="str">
        <f>UPPER(Table1[[#This Row],[Trimmed words]])</f>
        <v>FIRST AID BEAUTY ULTRA REPAIR CREAM</v>
      </c>
      <c r="M180" s="26" t="str">
        <f>LOWER(Table1[[#This Row],[Upper function]])</f>
        <v>first aid beauty ultra repair cream</v>
      </c>
      <c r="N180" s="26" t="str">
        <f t="shared" si="13"/>
        <v>Bea</v>
      </c>
      <c r="O180" s="26" t="str">
        <f t="shared" si="14"/>
        <v>uty Prod</v>
      </c>
      <c r="P180" s="27" t="str">
        <f t="shared" si="15"/>
        <v>roducts</v>
      </c>
      <c r="Q180" s="27" t="str">
        <f t="shared" si="16"/>
        <v>Beworduty Products</v>
      </c>
      <c r="R180" s="27" t="str">
        <f t="shared" si="17"/>
        <v>positionauty Products</v>
      </c>
      <c r="S180" s="27" t="str">
        <f t="shared" si="18"/>
        <v>10179-Beauty Products-(Asia)</v>
      </c>
      <c r="T180" s="27"/>
    </row>
    <row r="181" spans="1:20" x14ac:dyDescent="0.35">
      <c r="A181" s="4">
        <v>10180</v>
      </c>
      <c r="B181" s="5">
        <v>45471</v>
      </c>
      <c r="C181" s="6" t="s">
        <v>25</v>
      </c>
      <c r="D181" s="6" t="s">
        <v>198</v>
      </c>
      <c r="E181" s="6">
        <v>1</v>
      </c>
      <c r="F181" s="6">
        <v>146</v>
      </c>
      <c r="G181" s="6">
        <v>146</v>
      </c>
      <c r="H181" s="6" t="s">
        <v>19</v>
      </c>
      <c r="I181" s="7" t="s">
        <v>12</v>
      </c>
      <c r="J181" s="22">
        <f>(Table1[[#This Row],[Total Revenue]] * 0.18) + Table1[[#This Row],[Total Revenue]]</f>
        <v>172.28</v>
      </c>
      <c r="K181" s="6" t="str">
        <f>TRIM(Table1[[#This Row],[Product Name]])</f>
        <v>Oakley Holbrook Sunglasses</v>
      </c>
      <c r="L181" s="6" t="str">
        <f>UPPER(Table1[[#This Row],[Trimmed words]])</f>
        <v>OAKLEY HOLBROOK SUNGLASSES</v>
      </c>
      <c r="M181" s="26" t="str">
        <f>LOWER(Table1[[#This Row],[Upper function]])</f>
        <v>oakley holbrook sunglasses</v>
      </c>
      <c r="N181" s="26" t="str">
        <f t="shared" si="13"/>
        <v>Spo</v>
      </c>
      <c r="O181" s="26" t="str">
        <f t="shared" si="14"/>
        <v>rts</v>
      </c>
      <c r="P181" s="27" t="str">
        <f t="shared" si="15"/>
        <v>Sports</v>
      </c>
      <c r="Q181" s="27" t="str">
        <f t="shared" si="16"/>
        <v>Sports</v>
      </c>
      <c r="R181" s="27" t="str">
        <f t="shared" si="17"/>
        <v>positionorts</v>
      </c>
      <c r="S181" s="27" t="str">
        <f t="shared" si="18"/>
        <v>10180-Sports-(North America)</v>
      </c>
      <c r="T181" s="27"/>
    </row>
    <row r="182" spans="1:20" x14ac:dyDescent="0.35">
      <c r="A182" s="4">
        <v>10181</v>
      </c>
      <c r="B182" s="5">
        <v>45472</v>
      </c>
      <c r="C182" s="6" t="s">
        <v>9</v>
      </c>
      <c r="D182" s="6" t="s">
        <v>199</v>
      </c>
      <c r="E182" s="6">
        <v>1</v>
      </c>
      <c r="F182" s="6">
        <v>649.99</v>
      </c>
      <c r="G182" s="6">
        <v>649.99</v>
      </c>
      <c r="H182" s="6" t="s">
        <v>11</v>
      </c>
      <c r="I182" s="7" t="s">
        <v>12</v>
      </c>
      <c r="J182" s="22">
        <f>(Table1[[#This Row],[Total Revenue]] * 0.18) + Table1[[#This Row],[Total Revenue]]</f>
        <v>766.98820000000001</v>
      </c>
      <c r="K182" s="6" t="str">
        <f>TRIM(Table1[[#This Row],[Product Name]])</f>
        <v>Google Pixelbook Go</v>
      </c>
      <c r="L182" s="6" t="str">
        <f>UPPER(Table1[[#This Row],[Trimmed words]])</f>
        <v>GOOGLE PIXELBOOK GO</v>
      </c>
      <c r="M182" s="26" t="str">
        <f>LOWER(Table1[[#This Row],[Upper function]])</f>
        <v>google pixelbook go</v>
      </c>
      <c r="N182" s="26" t="str">
        <f t="shared" si="13"/>
        <v>Ele</v>
      </c>
      <c r="O182" s="26" t="str">
        <f t="shared" si="14"/>
        <v>ctronics</v>
      </c>
      <c r="P182" s="27" t="str">
        <f t="shared" si="15"/>
        <v>tronics</v>
      </c>
      <c r="Q182" s="27" t="str">
        <f t="shared" si="16"/>
        <v>Electronics</v>
      </c>
      <c r="R182" s="27" t="str">
        <f t="shared" si="17"/>
        <v>positionectronics</v>
      </c>
      <c r="S182" s="27" t="str">
        <f t="shared" si="18"/>
        <v>10181-Electronics-(Europe)</v>
      </c>
      <c r="T182" s="27"/>
    </row>
    <row r="183" spans="1:20" x14ac:dyDescent="0.35">
      <c r="A183" s="4">
        <v>10182</v>
      </c>
      <c r="B183" s="5">
        <v>45473</v>
      </c>
      <c r="C183" s="6" t="s">
        <v>13</v>
      </c>
      <c r="D183" s="6" t="s">
        <v>200</v>
      </c>
      <c r="E183" s="6">
        <v>1</v>
      </c>
      <c r="F183" s="6">
        <v>399.99</v>
      </c>
      <c r="G183" s="6">
        <v>399.99</v>
      </c>
      <c r="H183" s="6" t="s">
        <v>15</v>
      </c>
      <c r="I183" s="7" t="s">
        <v>16</v>
      </c>
      <c r="J183" s="22">
        <f>(Table1[[#This Row],[Total Revenue]] * 0.18) + Table1[[#This Row],[Total Revenue]]</f>
        <v>471.98820000000001</v>
      </c>
      <c r="K183" s="6" t="str">
        <f>TRIM(Table1[[#This Row],[Product Name]])</f>
        <v>Dyson V8 Absolute</v>
      </c>
      <c r="L183" s="6" t="str">
        <f>UPPER(Table1[[#This Row],[Trimmed words]])</f>
        <v>DYSON V8 ABSOLUTE</v>
      </c>
      <c r="M183" s="26" t="str">
        <f>LOWER(Table1[[#This Row],[Upper function]])</f>
        <v>dyson v8 absolute</v>
      </c>
      <c r="N183" s="26" t="str">
        <f t="shared" si="13"/>
        <v>Hom</v>
      </c>
      <c r="O183" s="26" t="str">
        <f t="shared" si="14"/>
        <v>e Applia</v>
      </c>
      <c r="P183" s="27" t="str">
        <f t="shared" si="15"/>
        <v>liances</v>
      </c>
      <c r="Q183" s="27" t="str">
        <f t="shared" si="16"/>
        <v>Home Appliwordnces</v>
      </c>
      <c r="R183" s="27" t="str">
        <f t="shared" si="17"/>
        <v>positionme Appliances</v>
      </c>
      <c r="S183" s="27" t="str">
        <f t="shared" si="18"/>
        <v>10182-Home Appliances-(Asia)</v>
      </c>
      <c r="T183" s="27"/>
    </row>
    <row r="184" spans="1:20" x14ac:dyDescent="0.35">
      <c r="A184" s="4">
        <v>10183</v>
      </c>
      <c r="B184" s="5">
        <v>45474</v>
      </c>
      <c r="C184" s="6" t="s">
        <v>17</v>
      </c>
      <c r="D184" s="6" t="s">
        <v>201</v>
      </c>
      <c r="E184" s="6">
        <v>3</v>
      </c>
      <c r="F184" s="6">
        <v>59.99</v>
      </c>
      <c r="G184" s="6">
        <v>179.97</v>
      </c>
      <c r="H184" s="6" t="s">
        <v>19</v>
      </c>
      <c r="I184" s="7" t="s">
        <v>20</v>
      </c>
      <c r="J184" s="22">
        <f>(Table1[[#This Row],[Total Revenue]] * 0.18) + Table1[[#This Row],[Total Revenue]]</f>
        <v>212.3646</v>
      </c>
      <c r="K184" s="6" t="str">
        <f>TRIM(Table1[[#This Row],[Product Name]])</f>
        <v>Levi's 511 Slim Fit Jeans</v>
      </c>
      <c r="L184" s="6" t="str">
        <f>UPPER(Table1[[#This Row],[Trimmed words]])</f>
        <v>LEVI'S 511 SLIM FIT JEANS</v>
      </c>
      <c r="M184" s="26" t="str">
        <f>LOWER(Table1[[#This Row],[Upper function]])</f>
        <v>levi's 511 slim fit jeans</v>
      </c>
      <c r="N184" s="26" t="str">
        <f t="shared" si="13"/>
        <v>Clo</v>
      </c>
      <c r="O184" s="26" t="str">
        <f t="shared" si="14"/>
        <v>thing</v>
      </c>
      <c r="P184" s="27" t="str">
        <f t="shared" si="15"/>
        <v>lothing</v>
      </c>
      <c r="Q184" s="27" t="str">
        <f t="shared" si="16"/>
        <v>Clothing</v>
      </c>
      <c r="R184" s="27" t="str">
        <f t="shared" si="17"/>
        <v>positionothing</v>
      </c>
      <c r="S184" s="27" t="str">
        <f t="shared" si="18"/>
        <v>10183-Clothing-(North America)</v>
      </c>
      <c r="T184" s="27"/>
    </row>
    <row r="185" spans="1:20" x14ac:dyDescent="0.35">
      <c r="A185" s="4">
        <v>10184</v>
      </c>
      <c r="B185" s="5">
        <v>45475</v>
      </c>
      <c r="C185" s="6" t="s">
        <v>21</v>
      </c>
      <c r="D185" s="6" t="s">
        <v>202</v>
      </c>
      <c r="E185" s="6">
        <v>2</v>
      </c>
      <c r="F185" s="6">
        <v>12.99</v>
      </c>
      <c r="G185" s="6">
        <v>25.98</v>
      </c>
      <c r="H185" s="6" t="s">
        <v>11</v>
      </c>
      <c r="I185" s="7" t="s">
        <v>12</v>
      </c>
      <c r="J185" s="22">
        <f>(Table1[[#This Row],[Total Revenue]] * 0.18) + Table1[[#This Row],[Total Revenue]]</f>
        <v>30.656400000000001</v>
      </c>
      <c r="K185" s="6" t="str">
        <f>TRIM(Table1[[#This Row],[Product Name]])</f>
        <v>The Martian by Andy Weir</v>
      </c>
      <c r="L185" s="6" t="str">
        <f>UPPER(Table1[[#This Row],[Trimmed words]])</f>
        <v>THE MARTIAN BY ANDY WEIR</v>
      </c>
      <c r="M185" s="26" t="str">
        <f>LOWER(Table1[[#This Row],[Upper function]])</f>
        <v>the martian by andy weir</v>
      </c>
      <c r="N185" s="26" t="str">
        <f t="shared" si="13"/>
        <v>Boo</v>
      </c>
      <c r="O185" s="26" t="str">
        <f t="shared" si="14"/>
        <v>ks</v>
      </c>
      <c r="P185" s="27" t="str">
        <f t="shared" si="15"/>
        <v>Books</v>
      </c>
      <c r="Q185" s="27" t="str">
        <f t="shared" si="16"/>
        <v>Books</v>
      </c>
      <c r="R185" s="27" t="str">
        <f t="shared" si="17"/>
        <v>positionoks</v>
      </c>
      <c r="S185" s="27" t="str">
        <f t="shared" si="18"/>
        <v>10184-Books-(Europe)</v>
      </c>
      <c r="T185" s="27"/>
    </row>
    <row r="186" spans="1:20" x14ac:dyDescent="0.35">
      <c r="A186" s="4">
        <v>10185</v>
      </c>
      <c r="B186" s="5">
        <v>45476</v>
      </c>
      <c r="C186" s="6" t="s">
        <v>23</v>
      </c>
      <c r="D186" s="6" t="s">
        <v>203</v>
      </c>
      <c r="E186" s="6">
        <v>1</v>
      </c>
      <c r="F186" s="6">
        <v>190</v>
      </c>
      <c r="G186" s="6">
        <v>190</v>
      </c>
      <c r="H186" s="6" t="s">
        <v>15</v>
      </c>
      <c r="I186" s="7" t="s">
        <v>16</v>
      </c>
      <c r="J186" s="22">
        <f>(Table1[[#This Row],[Total Revenue]] * 0.18) + Table1[[#This Row],[Total Revenue]]</f>
        <v>224.2</v>
      </c>
      <c r="K186" s="6" t="str">
        <f>TRIM(Table1[[#This Row],[Product Name]])</f>
        <v>La Mer CrÃ¨me de la Mer Moisturizer</v>
      </c>
      <c r="L186" s="6" t="str">
        <f>UPPER(Table1[[#This Row],[Trimmed words]])</f>
        <v>LA MER CRÃ¨ME DE LA MER MOISTURIZER</v>
      </c>
      <c r="M186" s="26" t="str">
        <f>LOWER(Table1[[#This Row],[Upper function]])</f>
        <v>la mer crã¨me de la mer moisturizer</v>
      </c>
      <c r="N186" s="26" t="str">
        <f t="shared" si="13"/>
        <v>Bea</v>
      </c>
      <c r="O186" s="26" t="str">
        <f t="shared" si="14"/>
        <v>uty Prod</v>
      </c>
      <c r="P186" s="27" t="str">
        <f t="shared" si="15"/>
        <v>roducts</v>
      </c>
      <c r="Q186" s="27" t="str">
        <f t="shared" si="16"/>
        <v>Beworduty Products</v>
      </c>
      <c r="R186" s="27" t="str">
        <f t="shared" si="17"/>
        <v>positionauty Products</v>
      </c>
      <c r="S186" s="27" t="str">
        <f t="shared" si="18"/>
        <v>10185-Beauty Products-(Asia)</v>
      </c>
      <c r="T186" s="27"/>
    </row>
    <row r="187" spans="1:20" x14ac:dyDescent="0.35">
      <c r="A187" s="4">
        <v>10186</v>
      </c>
      <c r="B187" s="5">
        <v>45477</v>
      </c>
      <c r="C187" s="6" t="s">
        <v>25</v>
      </c>
      <c r="D187" s="6" t="s">
        <v>204</v>
      </c>
      <c r="E187" s="6">
        <v>1</v>
      </c>
      <c r="F187" s="6">
        <v>499.95</v>
      </c>
      <c r="G187" s="6">
        <v>499.95</v>
      </c>
      <c r="H187" s="6" t="s">
        <v>19</v>
      </c>
      <c r="I187" s="7" t="s">
        <v>12</v>
      </c>
      <c r="J187" s="22">
        <f>(Table1[[#This Row],[Total Revenue]] * 0.18) + Table1[[#This Row],[Total Revenue]]</f>
        <v>589.94100000000003</v>
      </c>
      <c r="K187" s="6" t="str">
        <f>TRIM(Table1[[#This Row],[Product Name]])</f>
        <v>Polar Vantage V2</v>
      </c>
      <c r="L187" s="6" t="str">
        <f>UPPER(Table1[[#This Row],[Trimmed words]])</f>
        <v>POLAR VANTAGE V2</v>
      </c>
      <c r="M187" s="26" t="str">
        <f>LOWER(Table1[[#This Row],[Upper function]])</f>
        <v>polar vantage v2</v>
      </c>
      <c r="N187" s="26" t="str">
        <f t="shared" si="13"/>
        <v>Spo</v>
      </c>
      <c r="O187" s="26" t="str">
        <f t="shared" si="14"/>
        <v>rts</v>
      </c>
      <c r="P187" s="27" t="str">
        <f t="shared" si="15"/>
        <v>Sports</v>
      </c>
      <c r="Q187" s="27" t="str">
        <f t="shared" si="16"/>
        <v>Sports</v>
      </c>
      <c r="R187" s="27" t="str">
        <f t="shared" si="17"/>
        <v>positionorts</v>
      </c>
      <c r="S187" s="27" t="str">
        <f t="shared" si="18"/>
        <v>10186-Sports-(North America)</v>
      </c>
      <c r="T187" s="27"/>
    </row>
    <row r="188" spans="1:20" x14ac:dyDescent="0.35">
      <c r="A188" s="4">
        <v>10187</v>
      </c>
      <c r="B188" s="5">
        <v>45478</v>
      </c>
      <c r="C188" s="6" t="s">
        <v>9</v>
      </c>
      <c r="D188" s="6" t="s">
        <v>205</v>
      </c>
      <c r="E188" s="6">
        <v>1</v>
      </c>
      <c r="F188" s="6">
        <v>399</v>
      </c>
      <c r="G188" s="6">
        <v>399</v>
      </c>
      <c r="H188" s="6" t="s">
        <v>11</v>
      </c>
      <c r="I188" s="7" t="s">
        <v>12</v>
      </c>
      <c r="J188" s="22">
        <f>(Table1[[#This Row],[Total Revenue]] * 0.18) + Table1[[#This Row],[Total Revenue]]</f>
        <v>470.82</v>
      </c>
      <c r="K188" s="6" t="str">
        <f>TRIM(Table1[[#This Row],[Product Name]])</f>
        <v>Sonos Beam Soundbar</v>
      </c>
      <c r="L188" s="6" t="str">
        <f>UPPER(Table1[[#This Row],[Trimmed words]])</f>
        <v>SONOS BEAM SOUNDBAR</v>
      </c>
      <c r="M188" s="26" t="str">
        <f>LOWER(Table1[[#This Row],[Upper function]])</f>
        <v>sonos beam soundbar</v>
      </c>
      <c r="N188" s="26" t="str">
        <f t="shared" si="13"/>
        <v>Ele</v>
      </c>
      <c r="O188" s="26" t="str">
        <f t="shared" si="14"/>
        <v>ctronics</v>
      </c>
      <c r="P188" s="27" t="str">
        <f t="shared" si="15"/>
        <v>tronics</v>
      </c>
      <c r="Q188" s="27" t="str">
        <f t="shared" si="16"/>
        <v>Electronics</v>
      </c>
      <c r="R188" s="27" t="str">
        <f t="shared" si="17"/>
        <v>positionectronics</v>
      </c>
      <c r="S188" s="27" t="str">
        <f t="shared" si="18"/>
        <v>10187-Electronics-(Europe)</v>
      </c>
      <c r="T188" s="27"/>
    </row>
    <row r="189" spans="1:20" x14ac:dyDescent="0.35">
      <c r="A189" s="4">
        <v>10188</v>
      </c>
      <c r="B189" s="5">
        <v>45479</v>
      </c>
      <c r="C189" s="6" t="s">
        <v>13</v>
      </c>
      <c r="D189" s="6" t="s">
        <v>206</v>
      </c>
      <c r="E189" s="6">
        <v>2</v>
      </c>
      <c r="F189" s="6">
        <v>199</v>
      </c>
      <c r="G189" s="6">
        <v>398</v>
      </c>
      <c r="H189" s="6" t="s">
        <v>15</v>
      </c>
      <c r="I189" s="7" t="s">
        <v>16</v>
      </c>
      <c r="J189" s="22">
        <f>(Table1[[#This Row],[Total Revenue]] * 0.18) + Table1[[#This Row],[Total Revenue]]</f>
        <v>469.64</v>
      </c>
      <c r="K189" s="6" t="str">
        <f>TRIM(Table1[[#This Row],[Product Name]])</f>
        <v>Anova Precision Cooker</v>
      </c>
      <c r="L189" s="6" t="str">
        <f>UPPER(Table1[[#This Row],[Trimmed words]])</f>
        <v>ANOVA PRECISION COOKER</v>
      </c>
      <c r="M189" s="26" t="str">
        <f>LOWER(Table1[[#This Row],[Upper function]])</f>
        <v>anova precision cooker</v>
      </c>
      <c r="N189" s="26" t="str">
        <f t="shared" si="13"/>
        <v>Hom</v>
      </c>
      <c r="O189" s="26" t="str">
        <f t="shared" si="14"/>
        <v>e Applia</v>
      </c>
      <c r="P189" s="27" t="str">
        <f t="shared" si="15"/>
        <v>liances</v>
      </c>
      <c r="Q189" s="27" t="str">
        <f t="shared" si="16"/>
        <v>Home Appliwordnces</v>
      </c>
      <c r="R189" s="27" t="str">
        <f t="shared" si="17"/>
        <v>positionme Appliances</v>
      </c>
      <c r="S189" s="27" t="str">
        <f t="shared" si="18"/>
        <v>10188-Home Appliances-(Asia)</v>
      </c>
      <c r="T189" s="27"/>
    </row>
    <row r="190" spans="1:20" x14ac:dyDescent="0.35">
      <c r="A190" s="4">
        <v>10189</v>
      </c>
      <c r="B190" s="5">
        <v>45480</v>
      </c>
      <c r="C190" s="6" t="s">
        <v>17</v>
      </c>
      <c r="D190" s="6" t="s">
        <v>207</v>
      </c>
      <c r="E190" s="6">
        <v>4</v>
      </c>
      <c r="F190" s="6">
        <v>34.99</v>
      </c>
      <c r="G190" s="6">
        <v>139.96</v>
      </c>
      <c r="H190" s="6" t="s">
        <v>19</v>
      </c>
      <c r="I190" s="7" t="s">
        <v>20</v>
      </c>
      <c r="J190" s="22">
        <f>(Table1[[#This Row],[Total Revenue]] * 0.18) + Table1[[#This Row],[Total Revenue]]</f>
        <v>165.15280000000001</v>
      </c>
      <c r="K190" s="6" t="str">
        <f>TRIM(Table1[[#This Row],[Product Name]])</f>
        <v>Nike Dri-FIT Training Shorts</v>
      </c>
      <c r="L190" s="6" t="str">
        <f>UPPER(Table1[[#This Row],[Trimmed words]])</f>
        <v>NIKE DRI-FIT TRAINING SHORTS</v>
      </c>
      <c r="M190" s="26" t="str">
        <f>LOWER(Table1[[#This Row],[Upper function]])</f>
        <v>nike dri-fit training shorts</v>
      </c>
      <c r="N190" s="26" t="str">
        <f t="shared" si="13"/>
        <v>Clo</v>
      </c>
      <c r="O190" s="26" t="str">
        <f t="shared" si="14"/>
        <v>thing</v>
      </c>
      <c r="P190" s="27" t="str">
        <f t="shared" si="15"/>
        <v>lothing</v>
      </c>
      <c r="Q190" s="27" t="str">
        <f t="shared" si="16"/>
        <v>Clothing</v>
      </c>
      <c r="R190" s="27" t="str">
        <f t="shared" si="17"/>
        <v>positionothing</v>
      </c>
      <c r="S190" s="27" t="str">
        <f t="shared" si="18"/>
        <v>10189-Clothing-(North America)</v>
      </c>
      <c r="T190" s="27"/>
    </row>
    <row r="191" spans="1:20" x14ac:dyDescent="0.35">
      <c r="A191" s="4">
        <v>10190</v>
      </c>
      <c r="B191" s="5">
        <v>45481</v>
      </c>
      <c r="C191" s="6" t="s">
        <v>21</v>
      </c>
      <c r="D191" s="6" t="s">
        <v>108</v>
      </c>
      <c r="E191" s="6">
        <v>3</v>
      </c>
      <c r="F191" s="6">
        <v>10.99</v>
      </c>
      <c r="G191" s="6">
        <v>32.97</v>
      </c>
      <c r="H191" s="6" t="s">
        <v>11</v>
      </c>
      <c r="I191" s="7" t="s">
        <v>12</v>
      </c>
      <c r="J191" s="22">
        <f>(Table1[[#This Row],[Total Revenue]] * 0.18) + Table1[[#This Row],[Total Revenue]]</f>
        <v>38.904600000000002</v>
      </c>
      <c r="K191" s="6" t="str">
        <f>TRIM(Table1[[#This Row],[Product Name]])</f>
        <v>The Catcher in the Rye by J.D. Salinger</v>
      </c>
      <c r="L191" s="6" t="str">
        <f>UPPER(Table1[[#This Row],[Trimmed words]])</f>
        <v>THE CATCHER IN THE RYE BY J.D. SALINGER</v>
      </c>
      <c r="M191" s="26" t="str">
        <f>LOWER(Table1[[#This Row],[Upper function]])</f>
        <v>the catcher in the rye by j.d. salinger</v>
      </c>
      <c r="N191" s="26" t="str">
        <f t="shared" si="13"/>
        <v>Boo</v>
      </c>
      <c r="O191" s="26" t="str">
        <f t="shared" si="14"/>
        <v>ks</v>
      </c>
      <c r="P191" s="27" t="str">
        <f t="shared" si="15"/>
        <v>Books</v>
      </c>
      <c r="Q191" s="27" t="str">
        <f t="shared" si="16"/>
        <v>Books</v>
      </c>
      <c r="R191" s="27" t="str">
        <f t="shared" si="17"/>
        <v>positionoks</v>
      </c>
      <c r="S191" s="27" t="str">
        <f t="shared" si="18"/>
        <v>10190-Books-(Europe)</v>
      </c>
      <c r="T191" s="27"/>
    </row>
    <row r="192" spans="1:20" x14ac:dyDescent="0.35">
      <c r="A192" s="4">
        <v>10191</v>
      </c>
      <c r="B192" s="5">
        <v>45482</v>
      </c>
      <c r="C192" s="6" t="s">
        <v>23</v>
      </c>
      <c r="D192" s="6" t="s">
        <v>208</v>
      </c>
      <c r="E192" s="6">
        <v>1</v>
      </c>
      <c r="F192" s="6">
        <v>18</v>
      </c>
      <c r="G192" s="6">
        <v>18</v>
      </c>
      <c r="H192" s="6" t="s">
        <v>15</v>
      </c>
      <c r="I192" s="7" t="s">
        <v>16</v>
      </c>
      <c r="J192" s="22">
        <f>(Table1[[#This Row],[Total Revenue]] * 0.18) + Table1[[#This Row],[Total Revenue]]</f>
        <v>21.24</v>
      </c>
      <c r="K192" s="6" t="str">
        <f>TRIM(Table1[[#This Row],[Product Name]])</f>
        <v>Glossier Cloud Paint</v>
      </c>
      <c r="L192" s="6" t="str">
        <f>UPPER(Table1[[#This Row],[Trimmed words]])</f>
        <v>GLOSSIER CLOUD PAINT</v>
      </c>
      <c r="M192" s="26" t="str">
        <f>LOWER(Table1[[#This Row],[Upper function]])</f>
        <v>glossier cloud paint</v>
      </c>
      <c r="N192" s="26" t="str">
        <f t="shared" si="13"/>
        <v>Bea</v>
      </c>
      <c r="O192" s="26" t="str">
        <f t="shared" si="14"/>
        <v>uty Prod</v>
      </c>
      <c r="P192" s="27" t="str">
        <f t="shared" si="15"/>
        <v>roducts</v>
      </c>
      <c r="Q192" s="27" t="str">
        <f t="shared" si="16"/>
        <v>Beworduty Products</v>
      </c>
      <c r="R192" s="27" t="str">
        <f t="shared" si="17"/>
        <v>positionauty Products</v>
      </c>
      <c r="S192" s="27" t="str">
        <f t="shared" si="18"/>
        <v>10191-Beauty Products-(Asia)</v>
      </c>
      <c r="T192" s="27"/>
    </row>
    <row r="193" spans="1:20" x14ac:dyDescent="0.35">
      <c r="A193" s="4">
        <v>10192</v>
      </c>
      <c r="B193" s="5">
        <v>45483</v>
      </c>
      <c r="C193" s="6" t="s">
        <v>25</v>
      </c>
      <c r="D193" s="6" t="s">
        <v>209</v>
      </c>
      <c r="E193" s="6">
        <v>1</v>
      </c>
      <c r="F193" s="6">
        <v>169.95</v>
      </c>
      <c r="G193" s="6">
        <v>169.95</v>
      </c>
      <c r="H193" s="6" t="s">
        <v>19</v>
      </c>
      <c r="I193" s="7" t="s">
        <v>12</v>
      </c>
      <c r="J193" s="22">
        <f>(Table1[[#This Row],[Total Revenue]] * 0.18) + Table1[[#This Row],[Total Revenue]]</f>
        <v>200.541</v>
      </c>
      <c r="K193" s="6" t="str">
        <f>TRIM(Table1[[#This Row],[Product Name]])</f>
        <v>TRX All-in-One Suspension Training System</v>
      </c>
      <c r="L193" s="6" t="str">
        <f>UPPER(Table1[[#This Row],[Trimmed words]])</f>
        <v>TRX ALL-IN-ONE SUSPENSION TRAINING SYSTEM</v>
      </c>
      <c r="M193" s="26" t="str">
        <f>LOWER(Table1[[#This Row],[Upper function]])</f>
        <v>trx all-in-one suspension training system</v>
      </c>
      <c r="N193" s="26" t="str">
        <f t="shared" si="13"/>
        <v>Spo</v>
      </c>
      <c r="O193" s="26" t="str">
        <f t="shared" si="14"/>
        <v>rts</v>
      </c>
      <c r="P193" s="27" t="str">
        <f t="shared" si="15"/>
        <v>Sports</v>
      </c>
      <c r="Q193" s="27" t="str">
        <f t="shared" si="16"/>
        <v>Sports</v>
      </c>
      <c r="R193" s="27" t="str">
        <f t="shared" si="17"/>
        <v>positionorts</v>
      </c>
      <c r="S193" s="27" t="str">
        <f t="shared" si="18"/>
        <v>10192-Sports-(North America)</v>
      </c>
      <c r="T193" s="27"/>
    </row>
    <row r="194" spans="1:20" x14ac:dyDescent="0.35">
      <c r="A194" s="4">
        <v>10193</v>
      </c>
      <c r="B194" s="5">
        <v>45484</v>
      </c>
      <c r="C194" s="6" t="s">
        <v>9</v>
      </c>
      <c r="D194" s="6" t="s">
        <v>210</v>
      </c>
      <c r="E194" s="6">
        <v>1</v>
      </c>
      <c r="F194" s="6">
        <v>199.99</v>
      </c>
      <c r="G194" s="6">
        <v>199.99</v>
      </c>
      <c r="H194" s="6" t="s">
        <v>11</v>
      </c>
      <c r="I194" s="7" t="s">
        <v>12</v>
      </c>
      <c r="J194" s="22">
        <f>(Table1[[#This Row],[Total Revenue]] * 0.18) + Table1[[#This Row],[Total Revenue]]</f>
        <v>235.98820000000001</v>
      </c>
      <c r="K194" s="6" t="str">
        <f>TRIM(Table1[[#This Row],[Product Name]])</f>
        <v>Logitech G Pro X Wireless Gaming Headset</v>
      </c>
      <c r="L194" s="6" t="str">
        <f>UPPER(Table1[[#This Row],[Trimmed words]])</f>
        <v>LOGITECH G PRO X WIRELESS GAMING HEADSET</v>
      </c>
      <c r="M194" s="26" t="str">
        <f>LOWER(Table1[[#This Row],[Upper function]])</f>
        <v>logitech g pro x wireless gaming headset</v>
      </c>
      <c r="N194" s="26" t="str">
        <f t="shared" ref="N194:N241" si="19">LEFT(C194, 3)</f>
        <v>Ele</v>
      </c>
      <c r="O194" s="26" t="str">
        <f t="shared" ref="O194:O241" si="20">MID(C194, 4, 8)</f>
        <v>ctronics</v>
      </c>
      <c r="P194" s="27" t="str">
        <f t="shared" ref="P194:P241" si="21">RIGHT(C194, 7)</f>
        <v>tronics</v>
      </c>
      <c r="Q194" s="27" t="str">
        <f t="shared" ref="Q194:Q241" si="22">SUBSTITUTE(C194, "a", "word")</f>
        <v>Electronics</v>
      </c>
      <c r="R194" s="27" t="str">
        <f t="shared" ref="R194:R241" si="23">REPLACE(C194, 1, 2, "position")</f>
        <v>positionectronics</v>
      </c>
      <c r="S194" s="27" t="str">
        <f t="shared" ref="S194:S241" si="24">CONCATENATE(A194, "-", C194, "-", "(", H195, ")")</f>
        <v>10193-Electronics-(Europe)</v>
      </c>
      <c r="T194" s="27"/>
    </row>
    <row r="195" spans="1:20" x14ac:dyDescent="0.35">
      <c r="A195" s="4">
        <v>10194</v>
      </c>
      <c r="B195" s="5">
        <v>45485</v>
      </c>
      <c r="C195" s="6" t="s">
        <v>13</v>
      </c>
      <c r="D195" s="6" t="s">
        <v>211</v>
      </c>
      <c r="E195" s="6">
        <v>1</v>
      </c>
      <c r="F195" s="6">
        <v>199.95</v>
      </c>
      <c r="G195" s="6">
        <v>199.95</v>
      </c>
      <c r="H195" s="6" t="s">
        <v>15</v>
      </c>
      <c r="I195" s="7" t="s">
        <v>16</v>
      </c>
      <c r="J195" s="22">
        <f>(Table1[[#This Row],[Total Revenue]] * 0.18) + Table1[[#This Row],[Total Revenue]]</f>
        <v>235.94099999999997</v>
      </c>
      <c r="K195" s="6" t="str">
        <f>TRIM(Table1[[#This Row],[Product Name]])</f>
        <v>Breville Smart Coffee Grinder Pro</v>
      </c>
      <c r="L195" s="6" t="str">
        <f>UPPER(Table1[[#This Row],[Trimmed words]])</f>
        <v>BREVILLE SMART COFFEE GRINDER PRO</v>
      </c>
      <c r="M195" s="26" t="str">
        <f>LOWER(Table1[[#This Row],[Upper function]])</f>
        <v>breville smart coffee grinder pro</v>
      </c>
      <c r="N195" s="26" t="str">
        <f t="shared" si="19"/>
        <v>Hom</v>
      </c>
      <c r="O195" s="26" t="str">
        <f t="shared" si="20"/>
        <v>e Applia</v>
      </c>
      <c r="P195" s="27" t="str">
        <f t="shared" si="21"/>
        <v>liances</v>
      </c>
      <c r="Q195" s="27" t="str">
        <f t="shared" si="22"/>
        <v>Home Appliwordnces</v>
      </c>
      <c r="R195" s="27" t="str">
        <f t="shared" si="23"/>
        <v>positionme Appliances</v>
      </c>
      <c r="S195" s="27" t="str">
        <f t="shared" si="24"/>
        <v>10194-Home Appliances-(Asia)</v>
      </c>
      <c r="T195" s="27"/>
    </row>
    <row r="196" spans="1:20" x14ac:dyDescent="0.35">
      <c r="A196" s="4">
        <v>10195</v>
      </c>
      <c r="B196" s="5">
        <v>45486</v>
      </c>
      <c r="C196" s="6" t="s">
        <v>17</v>
      </c>
      <c r="D196" s="6" t="s">
        <v>212</v>
      </c>
      <c r="E196" s="6">
        <v>2</v>
      </c>
      <c r="F196" s="6">
        <v>179.99</v>
      </c>
      <c r="G196" s="6">
        <v>359.98</v>
      </c>
      <c r="H196" s="6" t="s">
        <v>19</v>
      </c>
      <c r="I196" s="7" t="s">
        <v>20</v>
      </c>
      <c r="J196" s="22">
        <f>(Table1[[#This Row],[Total Revenue]] * 0.18) + Table1[[#This Row],[Total Revenue]]</f>
        <v>424.77640000000002</v>
      </c>
      <c r="K196" s="6" t="str">
        <f>TRIM(Table1[[#This Row],[Product Name]])</f>
        <v>Adidas Ultraboost Running Shoes</v>
      </c>
      <c r="L196" s="6" t="str">
        <f>UPPER(Table1[[#This Row],[Trimmed words]])</f>
        <v>ADIDAS ULTRABOOST RUNNING SHOES</v>
      </c>
      <c r="M196" s="26" t="str">
        <f>LOWER(Table1[[#This Row],[Upper function]])</f>
        <v>adidas ultraboost running shoes</v>
      </c>
      <c r="N196" s="26" t="str">
        <f t="shared" si="19"/>
        <v>Clo</v>
      </c>
      <c r="O196" s="26" t="str">
        <f t="shared" si="20"/>
        <v>thing</v>
      </c>
      <c r="P196" s="27" t="str">
        <f t="shared" si="21"/>
        <v>lothing</v>
      </c>
      <c r="Q196" s="27" t="str">
        <f t="shared" si="22"/>
        <v>Clothing</v>
      </c>
      <c r="R196" s="27" t="str">
        <f t="shared" si="23"/>
        <v>positionothing</v>
      </c>
      <c r="S196" s="27" t="str">
        <f t="shared" si="24"/>
        <v>10195-Clothing-(North America)</v>
      </c>
      <c r="T196" s="27"/>
    </row>
    <row r="197" spans="1:20" x14ac:dyDescent="0.35">
      <c r="A197" s="4">
        <v>10196</v>
      </c>
      <c r="B197" s="5">
        <v>45487</v>
      </c>
      <c r="C197" s="6" t="s">
        <v>21</v>
      </c>
      <c r="D197" s="6" t="s">
        <v>213</v>
      </c>
      <c r="E197" s="6">
        <v>2</v>
      </c>
      <c r="F197" s="6">
        <v>11.99</v>
      </c>
      <c r="G197" s="6">
        <v>23.98</v>
      </c>
      <c r="H197" s="6" t="s">
        <v>11</v>
      </c>
      <c r="I197" s="7" t="s">
        <v>12</v>
      </c>
      <c r="J197" s="22">
        <f>(Table1[[#This Row],[Total Revenue]] * 0.18) + Table1[[#This Row],[Total Revenue]]</f>
        <v>28.296399999999998</v>
      </c>
      <c r="K197" s="6" t="str">
        <f>TRIM(Table1[[#This Row],[Product Name]])</f>
        <v>The Road by Cormac McCarthy</v>
      </c>
      <c r="L197" s="6" t="str">
        <f>UPPER(Table1[[#This Row],[Trimmed words]])</f>
        <v>THE ROAD BY CORMAC MCCARTHY</v>
      </c>
      <c r="M197" s="26" t="str">
        <f>LOWER(Table1[[#This Row],[Upper function]])</f>
        <v>the road by cormac mccarthy</v>
      </c>
      <c r="N197" s="26" t="str">
        <f t="shared" si="19"/>
        <v>Boo</v>
      </c>
      <c r="O197" s="26" t="str">
        <f t="shared" si="20"/>
        <v>ks</v>
      </c>
      <c r="P197" s="27" t="str">
        <f t="shared" si="21"/>
        <v>Books</v>
      </c>
      <c r="Q197" s="27" t="str">
        <f t="shared" si="22"/>
        <v>Books</v>
      </c>
      <c r="R197" s="27" t="str">
        <f t="shared" si="23"/>
        <v>positionoks</v>
      </c>
      <c r="S197" s="27" t="str">
        <f t="shared" si="24"/>
        <v>10196-Books-(Europe)</v>
      </c>
      <c r="T197" s="27"/>
    </row>
    <row r="198" spans="1:20" x14ac:dyDescent="0.35">
      <c r="A198" s="4">
        <v>10197</v>
      </c>
      <c r="B198" s="5">
        <v>45488</v>
      </c>
      <c r="C198" s="6" t="s">
        <v>23</v>
      </c>
      <c r="D198" s="6" t="s">
        <v>214</v>
      </c>
      <c r="E198" s="6">
        <v>1</v>
      </c>
      <c r="F198" s="6">
        <v>125</v>
      </c>
      <c r="G198" s="6">
        <v>125</v>
      </c>
      <c r="H198" s="6" t="s">
        <v>15</v>
      </c>
      <c r="I198" s="7" t="s">
        <v>16</v>
      </c>
      <c r="J198" s="22">
        <f>(Table1[[#This Row],[Total Revenue]] * 0.18) + Table1[[#This Row],[Total Revenue]]</f>
        <v>147.5</v>
      </c>
      <c r="K198" s="6" t="str">
        <f>TRIM(Table1[[#This Row],[Product Name]])</f>
        <v>Tom Ford Black Orchid Perfume</v>
      </c>
      <c r="L198" s="6" t="str">
        <f>UPPER(Table1[[#This Row],[Trimmed words]])</f>
        <v>TOM FORD BLACK ORCHID PERFUME</v>
      </c>
      <c r="M198" s="26" t="str">
        <f>LOWER(Table1[[#This Row],[Upper function]])</f>
        <v>tom ford black orchid perfume</v>
      </c>
      <c r="N198" s="26" t="str">
        <f t="shared" si="19"/>
        <v>Bea</v>
      </c>
      <c r="O198" s="26" t="str">
        <f t="shared" si="20"/>
        <v>uty Prod</v>
      </c>
      <c r="P198" s="27" t="str">
        <f t="shared" si="21"/>
        <v>roducts</v>
      </c>
      <c r="Q198" s="27" t="str">
        <f t="shared" si="22"/>
        <v>Beworduty Products</v>
      </c>
      <c r="R198" s="27" t="str">
        <f t="shared" si="23"/>
        <v>positionauty Products</v>
      </c>
      <c r="S198" s="27" t="str">
        <f t="shared" si="24"/>
        <v>10197-Beauty Products-(Asia)</v>
      </c>
      <c r="T198" s="27"/>
    </row>
    <row r="199" spans="1:20" x14ac:dyDescent="0.35">
      <c r="A199" s="4">
        <v>10198</v>
      </c>
      <c r="B199" s="5">
        <v>45489</v>
      </c>
      <c r="C199" s="6" t="s">
        <v>25</v>
      </c>
      <c r="D199" s="6" t="s">
        <v>215</v>
      </c>
      <c r="E199" s="6">
        <v>1</v>
      </c>
      <c r="F199" s="6">
        <v>449.99</v>
      </c>
      <c r="G199" s="6">
        <v>449.99</v>
      </c>
      <c r="H199" s="6" t="s">
        <v>19</v>
      </c>
      <c r="I199" s="7" t="s">
        <v>12</v>
      </c>
      <c r="J199" s="22">
        <f>(Table1[[#This Row],[Total Revenue]] * 0.18) + Table1[[#This Row],[Total Revenue]]</f>
        <v>530.98820000000001</v>
      </c>
      <c r="K199" s="6" t="str">
        <f>TRIM(Table1[[#This Row],[Product Name]])</f>
        <v>GoPro HERO9 Black</v>
      </c>
      <c r="L199" s="6" t="str">
        <f>UPPER(Table1[[#This Row],[Trimmed words]])</f>
        <v>GOPRO HERO9 BLACK</v>
      </c>
      <c r="M199" s="26" t="str">
        <f>LOWER(Table1[[#This Row],[Upper function]])</f>
        <v>gopro hero9 black</v>
      </c>
      <c r="N199" s="26" t="str">
        <f t="shared" si="19"/>
        <v>Spo</v>
      </c>
      <c r="O199" s="26" t="str">
        <f t="shared" si="20"/>
        <v>rts</v>
      </c>
      <c r="P199" s="27" t="str">
        <f t="shared" si="21"/>
        <v>Sports</v>
      </c>
      <c r="Q199" s="27" t="str">
        <f t="shared" si="22"/>
        <v>Sports</v>
      </c>
      <c r="R199" s="27" t="str">
        <f t="shared" si="23"/>
        <v>positionorts</v>
      </c>
      <c r="S199" s="27" t="str">
        <f t="shared" si="24"/>
        <v>10198-Sports-(North America)</v>
      </c>
      <c r="T199" s="27"/>
    </row>
    <row r="200" spans="1:20" x14ac:dyDescent="0.35">
      <c r="A200" s="4">
        <v>10199</v>
      </c>
      <c r="B200" s="5">
        <v>45490</v>
      </c>
      <c r="C200" s="6" t="s">
        <v>9</v>
      </c>
      <c r="D200" s="6" t="s">
        <v>216</v>
      </c>
      <c r="E200" s="6">
        <v>2</v>
      </c>
      <c r="F200" s="6">
        <v>179</v>
      </c>
      <c r="G200" s="6">
        <v>358</v>
      </c>
      <c r="H200" s="6" t="s">
        <v>11</v>
      </c>
      <c r="I200" s="7" t="s">
        <v>12</v>
      </c>
      <c r="J200" s="22">
        <f>(Table1[[#This Row],[Total Revenue]] * 0.18) + Table1[[#This Row],[Total Revenue]]</f>
        <v>422.44</v>
      </c>
      <c r="K200" s="6" t="str">
        <f>TRIM(Table1[[#This Row],[Product Name]])</f>
        <v>Apple TV 4K</v>
      </c>
      <c r="L200" s="6" t="str">
        <f>UPPER(Table1[[#This Row],[Trimmed words]])</f>
        <v>APPLE TV 4K</v>
      </c>
      <c r="M200" s="26" t="str">
        <f>LOWER(Table1[[#This Row],[Upper function]])</f>
        <v>apple tv 4k</v>
      </c>
      <c r="N200" s="26" t="str">
        <f t="shared" si="19"/>
        <v>Ele</v>
      </c>
      <c r="O200" s="26" t="str">
        <f t="shared" si="20"/>
        <v>ctronics</v>
      </c>
      <c r="P200" s="27" t="str">
        <f t="shared" si="21"/>
        <v>tronics</v>
      </c>
      <c r="Q200" s="27" t="str">
        <f t="shared" si="22"/>
        <v>Electronics</v>
      </c>
      <c r="R200" s="27" t="str">
        <f t="shared" si="23"/>
        <v>positionectronics</v>
      </c>
      <c r="S200" s="27" t="str">
        <f t="shared" si="24"/>
        <v>10199-Electronics-(Europe)</v>
      </c>
      <c r="T200" s="27"/>
    </row>
    <row r="201" spans="1:20" x14ac:dyDescent="0.35">
      <c r="A201" s="4">
        <v>10200</v>
      </c>
      <c r="B201" s="5">
        <v>45491</v>
      </c>
      <c r="C201" s="6" t="s">
        <v>13</v>
      </c>
      <c r="D201" s="6" t="s">
        <v>217</v>
      </c>
      <c r="E201" s="6">
        <v>1</v>
      </c>
      <c r="F201" s="6">
        <v>99.95</v>
      </c>
      <c r="G201" s="6">
        <v>99.95</v>
      </c>
      <c r="H201" s="6" t="s">
        <v>15</v>
      </c>
      <c r="I201" s="7" t="s">
        <v>16</v>
      </c>
      <c r="J201" s="22">
        <f>(Table1[[#This Row],[Total Revenue]] * 0.18) + Table1[[#This Row],[Total Revenue]]</f>
        <v>117.941</v>
      </c>
      <c r="K201" s="6" t="str">
        <f>TRIM(Table1[[#This Row],[Product Name]])</f>
        <v>Instant Pot Duo Nova</v>
      </c>
      <c r="L201" s="6" t="str">
        <f>UPPER(Table1[[#This Row],[Trimmed words]])</f>
        <v>INSTANT POT DUO NOVA</v>
      </c>
      <c r="M201" s="26" t="str">
        <f>LOWER(Table1[[#This Row],[Upper function]])</f>
        <v>instant pot duo nova</v>
      </c>
      <c r="N201" s="26" t="str">
        <f t="shared" si="19"/>
        <v>Hom</v>
      </c>
      <c r="O201" s="26" t="str">
        <f t="shared" si="20"/>
        <v>e Applia</v>
      </c>
      <c r="P201" s="27" t="str">
        <f t="shared" si="21"/>
        <v>liances</v>
      </c>
      <c r="Q201" s="27" t="str">
        <f t="shared" si="22"/>
        <v>Home Appliwordnces</v>
      </c>
      <c r="R201" s="27" t="str">
        <f t="shared" si="23"/>
        <v>positionme Appliances</v>
      </c>
      <c r="S201" s="27" t="str">
        <f t="shared" si="24"/>
        <v>10200-Home Appliances-(Asia)</v>
      </c>
      <c r="T201" s="27"/>
    </row>
    <row r="202" spans="1:20" x14ac:dyDescent="0.35">
      <c r="A202" s="4">
        <v>10201</v>
      </c>
      <c r="B202" s="5">
        <v>45492</v>
      </c>
      <c r="C202" s="6" t="s">
        <v>17</v>
      </c>
      <c r="D202" s="6" t="s">
        <v>218</v>
      </c>
      <c r="E202" s="6">
        <v>3</v>
      </c>
      <c r="F202" s="6">
        <v>59.99</v>
      </c>
      <c r="G202" s="6">
        <v>179.97</v>
      </c>
      <c r="H202" s="6" t="s">
        <v>19</v>
      </c>
      <c r="I202" s="7" t="s">
        <v>20</v>
      </c>
      <c r="J202" s="22">
        <f>(Table1[[#This Row],[Total Revenue]] * 0.18) + Table1[[#This Row],[Total Revenue]]</f>
        <v>212.3646</v>
      </c>
      <c r="K202" s="6" t="str">
        <f>TRIM(Table1[[#This Row],[Product Name]])</f>
        <v>Gap 1969 Original Fit Jeans</v>
      </c>
      <c r="L202" s="6" t="str">
        <f>UPPER(Table1[[#This Row],[Trimmed words]])</f>
        <v>GAP 1969 ORIGINAL FIT JEANS</v>
      </c>
      <c r="M202" s="26" t="str">
        <f>LOWER(Table1[[#This Row],[Upper function]])</f>
        <v>gap 1969 original fit jeans</v>
      </c>
      <c r="N202" s="26" t="str">
        <f t="shared" si="19"/>
        <v>Clo</v>
      </c>
      <c r="O202" s="26" t="str">
        <f t="shared" si="20"/>
        <v>thing</v>
      </c>
      <c r="P202" s="27" t="str">
        <f t="shared" si="21"/>
        <v>lothing</v>
      </c>
      <c r="Q202" s="27" t="str">
        <f t="shared" si="22"/>
        <v>Clothing</v>
      </c>
      <c r="R202" s="27" t="str">
        <f t="shared" si="23"/>
        <v>positionothing</v>
      </c>
      <c r="S202" s="27" t="str">
        <f t="shared" si="24"/>
        <v>10201-Clothing-(North America)</v>
      </c>
      <c r="T202" s="27"/>
    </row>
    <row r="203" spans="1:20" x14ac:dyDescent="0.35">
      <c r="A203" s="4">
        <v>10202</v>
      </c>
      <c r="B203" s="5">
        <v>45493</v>
      </c>
      <c r="C203" s="6" t="s">
        <v>21</v>
      </c>
      <c r="D203" s="6" t="s">
        <v>219</v>
      </c>
      <c r="E203" s="6">
        <v>2</v>
      </c>
      <c r="F203" s="6">
        <v>14.99</v>
      </c>
      <c r="G203" s="6">
        <v>29.98</v>
      </c>
      <c r="H203" s="6" t="s">
        <v>11</v>
      </c>
      <c r="I203" s="7" t="s">
        <v>12</v>
      </c>
      <c r="J203" s="22">
        <f>(Table1[[#This Row],[Total Revenue]] * 0.18) + Table1[[#This Row],[Total Revenue]]</f>
        <v>35.376400000000004</v>
      </c>
      <c r="K203" s="6" t="str">
        <f>TRIM(Table1[[#This Row],[Product Name]])</f>
        <v>The Goldfinch by Donna Tartt</v>
      </c>
      <c r="L203" s="6" t="str">
        <f>UPPER(Table1[[#This Row],[Trimmed words]])</f>
        <v>THE GOLDFINCH BY DONNA TARTT</v>
      </c>
      <c r="M203" s="26" t="str">
        <f>LOWER(Table1[[#This Row],[Upper function]])</f>
        <v>the goldfinch by donna tartt</v>
      </c>
      <c r="N203" s="26" t="str">
        <f t="shared" si="19"/>
        <v>Boo</v>
      </c>
      <c r="O203" s="26" t="str">
        <f t="shared" si="20"/>
        <v>ks</v>
      </c>
      <c r="P203" s="27" t="str">
        <f t="shared" si="21"/>
        <v>Books</v>
      </c>
      <c r="Q203" s="27" t="str">
        <f t="shared" si="22"/>
        <v>Books</v>
      </c>
      <c r="R203" s="27" t="str">
        <f t="shared" si="23"/>
        <v>positionoks</v>
      </c>
      <c r="S203" s="27" t="str">
        <f t="shared" si="24"/>
        <v>10202-Books-(Europe)</v>
      </c>
      <c r="T203" s="27"/>
    </row>
    <row r="204" spans="1:20" x14ac:dyDescent="0.35">
      <c r="A204" s="4">
        <v>10203</v>
      </c>
      <c r="B204" s="5">
        <v>45494</v>
      </c>
      <c r="C204" s="6" t="s">
        <v>23</v>
      </c>
      <c r="D204" s="6" t="s">
        <v>220</v>
      </c>
      <c r="E204" s="6">
        <v>1</v>
      </c>
      <c r="F204" s="6">
        <v>52</v>
      </c>
      <c r="G204" s="6">
        <v>52</v>
      </c>
      <c r="H204" s="6" t="s">
        <v>15</v>
      </c>
      <c r="I204" s="7" t="s">
        <v>16</v>
      </c>
      <c r="J204" s="22">
        <f>(Table1[[#This Row],[Total Revenue]] * 0.18) + Table1[[#This Row],[Total Revenue]]</f>
        <v>61.36</v>
      </c>
      <c r="K204" s="6" t="str">
        <f>TRIM(Table1[[#This Row],[Product Name]])</f>
        <v>Dr. Jart+ Cicapair Tiger Grass Color Correcting Treatment</v>
      </c>
      <c r="L204" s="6" t="str">
        <f>UPPER(Table1[[#This Row],[Trimmed words]])</f>
        <v>DR. JART+ CICAPAIR TIGER GRASS COLOR CORRECTING TREATMENT</v>
      </c>
      <c r="M204" s="26" t="str">
        <f>LOWER(Table1[[#This Row],[Upper function]])</f>
        <v>dr. jart+ cicapair tiger grass color correcting treatment</v>
      </c>
      <c r="N204" s="26" t="str">
        <f t="shared" si="19"/>
        <v>Bea</v>
      </c>
      <c r="O204" s="26" t="str">
        <f t="shared" si="20"/>
        <v>uty Prod</v>
      </c>
      <c r="P204" s="27" t="str">
        <f t="shared" si="21"/>
        <v>roducts</v>
      </c>
      <c r="Q204" s="27" t="str">
        <f t="shared" si="22"/>
        <v>Beworduty Products</v>
      </c>
      <c r="R204" s="27" t="str">
        <f t="shared" si="23"/>
        <v>positionauty Products</v>
      </c>
      <c r="S204" s="27" t="str">
        <f t="shared" si="24"/>
        <v>10203-Beauty Products-(Asia)</v>
      </c>
      <c r="T204" s="27"/>
    </row>
    <row r="205" spans="1:20" x14ac:dyDescent="0.35">
      <c r="A205" s="4">
        <v>10204</v>
      </c>
      <c r="B205" s="5">
        <v>45495</v>
      </c>
      <c r="C205" s="6" t="s">
        <v>25</v>
      </c>
      <c r="D205" s="6" t="s">
        <v>221</v>
      </c>
      <c r="E205" s="6">
        <v>1</v>
      </c>
      <c r="F205" s="6">
        <v>399.99</v>
      </c>
      <c r="G205" s="6">
        <v>399.99</v>
      </c>
      <c r="H205" s="6" t="s">
        <v>19</v>
      </c>
      <c r="I205" s="7" t="s">
        <v>12</v>
      </c>
      <c r="J205" s="22">
        <f>(Table1[[#This Row],[Total Revenue]] * 0.18) + Table1[[#This Row],[Total Revenue]]</f>
        <v>471.98820000000001</v>
      </c>
      <c r="K205" s="6" t="str">
        <f>TRIM(Table1[[#This Row],[Product Name]])</f>
        <v>Yeti Tundra Haul Portable Wheeled Cooler</v>
      </c>
      <c r="L205" s="6" t="str">
        <f>UPPER(Table1[[#This Row],[Trimmed words]])</f>
        <v>YETI TUNDRA HAUL PORTABLE WHEELED COOLER</v>
      </c>
      <c r="M205" s="26" t="str">
        <f>LOWER(Table1[[#This Row],[Upper function]])</f>
        <v>yeti tundra haul portable wheeled cooler</v>
      </c>
      <c r="N205" s="26" t="str">
        <f t="shared" si="19"/>
        <v>Spo</v>
      </c>
      <c r="O205" s="26" t="str">
        <f t="shared" si="20"/>
        <v>rts</v>
      </c>
      <c r="P205" s="27" t="str">
        <f t="shared" si="21"/>
        <v>Sports</v>
      </c>
      <c r="Q205" s="27" t="str">
        <f t="shared" si="22"/>
        <v>Sports</v>
      </c>
      <c r="R205" s="27" t="str">
        <f t="shared" si="23"/>
        <v>positionorts</v>
      </c>
      <c r="S205" s="27" t="str">
        <f t="shared" si="24"/>
        <v>10204-Sports-(North America)</v>
      </c>
      <c r="T205" s="27"/>
    </row>
    <row r="206" spans="1:20" x14ac:dyDescent="0.35">
      <c r="A206" s="4">
        <v>10205</v>
      </c>
      <c r="B206" s="5">
        <v>45496</v>
      </c>
      <c r="C206" s="6" t="s">
        <v>9</v>
      </c>
      <c r="D206" s="6" t="s">
        <v>222</v>
      </c>
      <c r="E206" s="6">
        <v>1</v>
      </c>
      <c r="F206" s="6">
        <v>299.99</v>
      </c>
      <c r="G206" s="6">
        <v>299.99</v>
      </c>
      <c r="H206" s="6" t="s">
        <v>11</v>
      </c>
      <c r="I206" s="7" t="s">
        <v>12</v>
      </c>
      <c r="J206" s="22">
        <f>(Table1[[#This Row],[Total Revenue]] * 0.18) + Table1[[#This Row],[Total Revenue]]</f>
        <v>353.98820000000001</v>
      </c>
      <c r="K206" s="6" t="str">
        <f>TRIM(Table1[[#This Row],[Product Name]])</f>
        <v>Samsung Galaxy Watch 4</v>
      </c>
      <c r="L206" s="6" t="str">
        <f>UPPER(Table1[[#This Row],[Trimmed words]])</f>
        <v>SAMSUNG GALAXY WATCH 4</v>
      </c>
      <c r="M206" s="26" t="str">
        <f>LOWER(Table1[[#This Row],[Upper function]])</f>
        <v>samsung galaxy watch 4</v>
      </c>
      <c r="N206" s="26" t="str">
        <f t="shared" si="19"/>
        <v>Ele</v>
      </c>
      <c r="O206" s="26" t="str">
        <f t="shared" si="20"/>
        <v>ctronics</v>
      </c>
      <c r="P206" s="27" t="str">
        <f t="shared" si="21"/>
        <v>tronics</v>
      </c>
      <c r="Q206" s="27" t="str">
        <f t="shared" si="22"/>
        <v>Electronics</v>
      </c>
      <c r="R206" s="27" t="str">
        <f t="shared" si="23"/>
        <v>positionectronics</v>
      </c>
      <c r="S206" s="27" t="str">
        <f t="shared" si="24"/>
        <v>10205-Electronics-(Europe)</v>
      </c>
      <c r="T206" s="27"/>
    </row>
    <row r="207" spans="1:20" x14ac:dyDescent="0.35">
      <c r="A207" s="4">
        <v>10206</v>
      </c>
      <c r="B207" s="5">
        <v>45497</v>
      </c>
      <c r="C207" s="6" t="s">
        <v>13</v>
      </c>
      <c r="D207" s="6" t="s">
        <v>223</v>
      </c>
      <c r="E207" s="6">
        <v>1</v>
      </c>
      <c r="F207" s="6">
        <v>379.99</v>
      </c>
      <c r="G207" s="6">
        <v>379.99</v>
      </c>
      <c r="H207" s="6" t="s">
        <v>15</v>
      </c>
      <c r="I207" s="7" t="s">
        <v>16</v>
      </c>
      <c r="J207" s="22">
        <f>(Table1[[#This Row],[Total Revenue]] * 0.18) + Table1[[#This Row],[Total Revenue]]</f>
        <v>448.38819999999998</v>
      </c>
      <c r="K207" s="6" t="str">
        <f>TRIM(Table1[[#This Row],[Product Name]])</f>
        <v>KitchenAid Stand Mixer</v>
      </c>
      <c r="L207" s="6" t="str">
        <f>UPPER(Table1[[#This Row],[Trimmed words]])</f>
        <v>KITCHENAID STAND MIXER</v>
      </c>
      <c r="M207" s="26" t="str">
        <f>LOWER(Table1[[#This Row],[Upper function]])</f>
        <v>kitchenaid stand mixer</v>
      </c>
      <c r="N207" s="26" t="str">
        <f t="shared" si="19"/>
        <v>Hom</v>
      </c>
      <c r="O207" s="26" t="str">
        <f t="shared" si="20"/>
        <v>e Applia</v>
      </c>
      <c r="P207" s="27" t="str">
        <f t="shared" si="21"/>
        <v>liances</v>
      </c>
      <c r="Q207" s="27" t="str">
        <f t="shared" si="22"/>
        <v>Home Appliwordnces</v>
      </c>
      <c r="R207" s="27" t="str">
        <f t="shared" si="23"/>
        <v>positionme Appliances</v>
      </c>
      <c r="S207" s="27" t="str">
        <f t="shared" si="24"/>
        <v>10206-Home Appliances-(Asia)</v>
      </c>
      <c r="T207" s="27"/>
    </row>
    <row r="208" spans="1:20" x14ac:dyDescent="0.35">
      <c r="A208" s="4">
        <v>10207</v>
      </c>
      <c r="B208" s="5">
        <v>45498</v>
      </c>
      <c r="C208" s="6" t="s">
        <v>17</v>
      </c>
      <c r="D208" s="6" t="s">
        <v>224</v>
      </c>
      <c r="E208" s="6">
        <v>2</v>
      </c>
      <c r="F208" s="6">
        <v>98</v>
      </c>
      <c r="G208" s="6">
        <v>196</v>
      </c>
      <c r="H208" s="6" t="s">
        <v>19</v>
      </c>
      <c r="I208" s="7" t="s">
        <v>20</v>
      </c>
      <c r="J208" s="22">
        <f>(Table1[[#This Row],[Total Revenue]] * 0.18) + Table1[[#This Row],[Total Revenue]]</f>
        <v>231.28</v>
      </c>
      <c r="K208" s="6" t="str">
        <f>TRIM(Table1[[#This Row],[Product Name]])</f>
        <v>Lululemon Wunder Under High-Rise Leggings</v>
      </c>
      <c r="L208" s="6" t="str">
        <f>UPPER(Table1[[#This Row],[Trimmed words]])</f>
        <v>LULULEMON WUNDER UNDER HIGH-RISE LEGGINGS</v>
      </c>
      <c r="M208" s="26" t="str">
        <f>LOWER(Table1[[#This Row],[Upper function]])</f>
        <v>lululemon wunder under high-rise leggings</v>
      </c>
      <c r="N208" s="26" t="str">
        <f t="shared" si="19"/>
        <v>Clo</v>
      </c>
      <c r="O208" s="26" t="str">
        <f t="shared" si="20"/>
        <v>thing</v>
      </c>
      <c r="P208" s="27" t="str">
        <f t="shared" si="21"/>
        <v>lothing</v>
      </c>
      <c r="Q208" s="27" t="str">
        <f t="shared" si="22"/>
        <v>Clothing</v>
      </c>
      <c r="R208" s="27" t="str">
        <f t="shared" si="23"/>
        <v>positionothing</v>
      </c>
      <c r="S208" s="27" t="str">
        <f t="shared" si="24"/>
        <v>10207-Clothing-(North America)</v>
      </c>
      <c r="T208" s="27"/>
    </row>
    <row r="209" spans="1:20" x14ac:dyDescent="0.35">
      <c r="A209" s="4">
        <v>10208</v>
      </c>
      <c r="B209" s="5">
        <v>45499</v>
      </c>
      <c r="C209" s="6" t="s">
        <v>21</v>
      </c>
      <c r="D209" s="6" t="s">
        <v>225</v>
      </c>
      <c r="E209" s="6">
        <v>3</v>
      </c>
      <c r="F209" s="6">
        <v>16.989999999999998</v>
      </c>
      <c r="G209" s="6">
        <v>50.97</v>
      </c>
      <c r="H209" s="6" t="s">
        <v>11</v>
      </c>
      <c r="I209" s="7" t="s">
        <v>12</v>
      </c>
      <c r="J209" s="22">
        <f>(Table1[[#This Row],[Total Revenue]] * 0.18) + Table1[[#This Row],[Total Revenue]]</f>
        <v>60.144599999999997</v>
      </c>
      <c r="K209" s="6" t="str">
        <f>TRIM(Table1[[#This Row],[Product Name]])</f>
        <v>The Great Alone by Kristin Hannah</v>
      </c>
      <c r="L209" s="6" t="str">
        <f>UPPER(Table1[[#This Row],[Trimmed words]])</f>
        <v>THE GREAT ALONE BY KRISTIN HANNAH</v>
      </c>
      <c r="M209" s="26" t="str">
        <f>LOWER(Table1[[#This Row],[Upper function]])</f>
        <v>the great alone by kristin hannah</v>
      </c>
      <c r="N209" s="26" t="str">
        <f t="shared" si="19"/>
        <v>Boo</v>
      </c>
      <c r="O209" s="26" t="str">
        <f t="shared" si="20"/>
        <v>ks</v>
      </c>
      <c r="P209" s="27" t="str">
        <f t="shared" si="21"/>
        <v>Books</v>
      </c>
      <c r="Q209" s="27" t="str">
        <f t="shared" si="22"/>
        <v>Books</v>
      </c>
      <c r="R209" s="27" t="str">
        <f t="shared" si="23"/>
        <v>positionoks</v>
      </c>
      <c r="S209" s="27" t="str">
        <f t="shared" si="24"/>
        <v>10208-Books-(Europe)</v>
      </c>
      <c r="T209" s="27"/>
    </row>
    <row r="210" spans="1:20" x14ac:dyDescent="0.35">
      <c r="A210" s="4">
        <v>10209</v>
      </c>
      <c r="B210" s="5">
        <v>45500</v>
      </c>
      <c r="C210" s="6" t="s">
        <v>23</v>
      </c>
      <c r="D210" s="6" t="s">
        <v>226</v>
      </c>
      <c r="E210" s="6">
        <v>1</v>
      </c>
      <c r="F210" s="6">
        <v>79</v>
      </c>
      <c r="G210" s="6">
        <v>79</v>
      </c>
      <c r="H210" s="6" t="s">
        <v>15</v>
      </c>
      <c r="I210" s="7" t="s">
        <v>16</v>
      </c>
      <c r="J210" s="22">
        <f>(Table1[[#This Row],[Total Revenue]] * 0.18) + Table1[[#This Row],[Total Revenue]]</f>
        <v>93.22</v>
      </c>
      <c r="K210" s="6" t="str">
        <f>TRIM(Table1[[#This Row],[Product Name]])</f>
        <v>Caudalie Vinoperfect Radiance Serum</v>
      </c>
      <c r="L210" s="6" t="str">
        <f>UPPER(Table1[[#This Row],[Trimmed words]])</f>
        <v>CAUDALIE VINOPERFECT RADIANCE SERUM</v>
      </c>
      <c r="M210" s="26" t="str">
        <f>LOWER(Table1[[#This Row],[Upper function]])</f>
        <v>caudalie vinoperfect radiance serum</v>
      </c>
      <c r="N210" s="26" t="str">
        <f t="shared" si="19"/>
        <v>Bea</v>
      </c>
      <c r="O210" s="26" t="str">
        <f t="shared" si="20"/>
        <v>uty Prod</v>
      </c>
      <c r="P210" s="27" t="str">
        <f t="shared" si="21"/>
        <v>roducts</v>
      </c>
      <c r="Q210" s="27" t="str">
        <f t="shared" si="22"/>
        <v>Beworduty Products</v>
      </c>
      <c r="R210" s="27" t="str">
        <f t="shared" si="23"/>
        <v>positionauty Products</v>
      </c>
      <c r="S210" s="27" t="str">
        <f t="shared" si="24"/>
        <v>10209-Beauty Products-(Asia)</v>
      </c>
      <c r="T210" s="27"/>
    </row>
    <row r="211" spans="1:20" x14ac:dyDescent="0.35">
      <c r="A211" s="4">
        <v>10210</v>
      </c>
      <c r="B211" s="5">
        <v>45501</v>
      </c>
      <c r="C211" s="6" t="s">
        <v>25</v>
      </c>
      <c r="D211" s="6" t="s">
        <v>227</v>
      </c>
      <c r="E211" s="6">
        <v>1</v>
      </c>
      <c r="F211" s="6">
        <v>129</v>
      </c>
      <c r="G211" s="6">
        <v>129</v>
      </c>
      <c r="H211" s="6" t="s">
        <v>19</v>
      </c>
      <c r="I211" s="7" t="s">
        <v>12</v>
      </c>
      <c r="J211" s="22">
        <f>(Table1[[#This Row],[Total Revenue]] * 0.18) + Table1[[#This Row],[Total Revenue]]</f>
        <v>152.22</v>
      </c>
      <c r="K211" s="6" t="str">
        <f>TRIM(Table1[[#This Row],[Product Name]])</f>
        <v>Bose SoundLink Color Bluetooth Speaker II</v>
      </c>
      <c r="L211" s="6" t="str">
        <f>UPPER(Table1[[#This Row],[Trimmed words]])</f>
        <v>BOSE SOUNDLINK COLOR BLUETOOTH SPEAKER II</v>
      </c>
      <c r="M211" s="26" t="str">
        <f>LOWER(Table1[[#This Row],[Upper function]])</f>
        <v>bose soundlink color bluetooth speaker ii</v>
      </c>
      <c r="N211" s="26" t="str">
        <f t="shared" si="19"/>
        <v>Spo</v>
      </c>
      <c r="O211" s="26" t="str">
        <f t="shared" si="20"/>
        <v>rts</v>
      </c>
      <c r="P211" s="27" t="str">
        <f t="shared" si="21"/>
        <v>Sports</v>
      </c>
      <c r="Q211" s="27" t="str">
        <f t="shared" si="22"/>
        <v>Sports</v>
      </c>
      <c r="R211" s="27" t="str">
        <f t="shared" si="23"/>
        <v>positionorts</v>
      </c>
      <c r="S211" s="27" t="str">
        <f t="shared" si="24"/>
        <v>10210-Sports-(North America)</v>
      </c>
      <c r="T211" s="27"/>
    </row>
    <row r="212" spans="1:20" x14ac:dyDescent="0.35">
      <c r="A212" s="4">
        <v>10211</v>
      </c>
      <c r="B212" s="5">
        <v>45502</v>
      </c>
      <c r="C212" s="6" t="s">
        <v>9</v>
      </c>
      <c r="D212" s="6" t="s">
        <v>228</v>
      </c>
      <c r="E212" s="6">
        <v>1</v>
      </c>
      <c r="F212" s="6">
        <v>749.99</v>
      </c>
      <c r="G212" s="6">
        <v>749.99</v>
      </c>
      <c r="H212" s="6" t="s">
        <v>11</v>
      </c>
      <c r="I212" s="7" t="s">
        <v>12</v>
      </c>
      <c r="J212" s="22">
        <f>(Table1[[#This Row],[Total Revenue]] * 0.18) + Table1[[#This Row],[Total Revenue]]</f>
        <v>884.98820000000001</v>
      </c>
      <c r="K212" s="6" t="str">
        <f>TRIM(Table1[[#This Row],[Product Name]])</f>
        <v>Canon EOS Rebel T7i DSLR Camera</v>
      </c>
      <c r="L212" s="6" t="str">
        <f>UPPER(Table1[[#This Row],[Trimmed words]])</f>
        <v>CANON EOS REBEL T7I DSLR CAMERA</v>
      </c>
      <c r="M212" s="26" t="str">
        <f>LOWER(Table1[[#This Row],[Upper function]])</f>
        <v>canon eos rebel t7i dslr camera</v>
      </c>
      <c r="N212" s="26" t="str">
        <f t="shared" si="19"/>
        <v>Ele</v>
      </c>
      <c r="O212" s="26" t="str">
        <f t="shared" si="20"/>
        <v>ctronics</v>
      </c>
      <c r="P212" s="27" t="str">
        <f t="shared" si="21"/>
        <v>tronics</v>
      </c>
      <c r="Q212" s="27" t="str">
        <f t="shared" si="22"/>
        <v>Electronics</v>
      </c>
      <c r="R212" s="27" t="str">
        <f t="shared" si="23"/>
        <v>positionectronics</v>
      </c>
      <c r="S212" s="27" t="str">
        <f t="shared" si="24"/>
        <v>10211-Electronics-(Europe)</v>
      </c>
      <c r="T212" s="27"/>
    </row>
    <row r="213" spans="1:20" x14ac:dyDescent="0.35">
      <c r="A213" s="4">
        <v>10212</v>
      </c>
      <c r="B213" s="5">
        <v>45503</v>
      </c>
      <c r="C213" s="6" t="s">
        <v>13</v>
      </c>
      <c r="D213" s="6" t="s">
        <v>34</v>
      </c>
      <c r="E213" s="6">
        <v>2</v>
      </c>
      <c r="F213" s="6">
        <v>169.99</v>
      </c>
      <c r="G213" s="6">
        <v>339.98</v>
      </c>
      <c r="H213" s="6" t="s">
        <v>15</v>
      </c>
      <c r="I213" s="7" t="s">
        <v>16</v>
      </c>
      <c r="J213" s="22">
        <f>(Table1[[#This Row],[Total Revenue]] * 0.18) + Table1[[#This Row],[Total Revenue]]</f>
        <v>401.1764</v>
      </c>
      <c r="K213" s="6" t="str">
        <f>TRIM(Table1[[#This Row],[Product Name]])</f>
        <v>Keurig K-Elite Coffee Maker</v>
      </c>
      <c r="L213" s="6" t="str">
        <f>UPPER(Table1[[#This Row],[Trimmed words]])</f>
        <v>KEURIG K-ELITE COFFEE MAKER</v>
      </c>
      <c r="M213" s="26" t="str">
        <f>LOWER(Table1[[#This Row],[Upper function]])</f>
        <v>keurig k-elite coffee maker</v>
      </c>
      <c r="N213" s="26" t="str">
        <f t="shared" si="19"/>
        <v>Hom</v>
      </c>
      <c r="O213" s="26" t="str">
        <f t="shared" si="20"/>
        <v>e Applia</v>
      </c>
      <c r="P213" s="27" t="str">
        <f t="shared" si="21"/>
        <v>liances</v>
      </c>
      <c r="Q213" s="27" t="str">
        <f t="shared" si="22"/>
        <v>Home Appliwordnces</v>
      </c>
      <c r="R213" s="27" t="str">
        <f t="shared" si="23"/>
        <v>positionme Appliances</v>
      </c>
      <c r="S213" s="27" t="str">
        <f t="shared" si="24"/>
        <v>10212-Home Appliances-(Asia)</v>
      </c>
      <c r="T213" s="27"/>
    </row>
    <row r="214" spans="1:20" x14ac:dyDescent="0.35">
      <c r="A214" s="4">
        <v>10213</v>
      </c>
      <c r="B214" s="5">
        <v>45504</v>
      </c>
      <c r="C214" s="6" t="s">
        <v>17</v>
      </c>
      <c r="D214" s="6" t="s">
        <v>229</v>
      </c>
      <c r="E214" s="6">
        <v>4</v>
      </c>
      <c r="F214" s="6">
        <v>9.9</v>
      </c>
      <c r="G214" s="6">
        <v>39.6</v>
      </c>
      <c r="H214" s="6" t="s">
        <v>19</v>
      </c>
      <c r="I214" s="7" t="s">
        <v>20</v>
      </c>
      <c r="J214" s="22">
        <f>(Table1[[#This Row],[Total Revenue]] * 0.18) + Table1[[#This Row],[Total Revenue]]</f>
        <v>46.728000000000002</v>
      </c>
      <c r="K214" s="6" t="str">
        <f>TRIM(Table1[[#This Row],[Product Name]])</f>
        <v>Uniqlo Airism Seamless Boxer Briefs</v>
      </c>
      <c r="L214" s="6" t="str">
        <f>UPPER(Table1[[#This Row],[Trimmed words]])</f>
        <v>UNIQLO AIRISM SEAMLESS BOXER BRIEFS</v>
      </c>
      <c r="M214" s="26" t="str">
        <f>LOWER(Table1[[#This Row],[Upper function]])</f>
        <v>uniqlo airism seamless boxer briefs</v>
      </c>
      <c r="N214" s="26" t="str">
        <f t="shared" si="19"/>
        <v>Clo</v>
      </c>
      <c r="O214" s="26" t="str">
        <f t="shared" si="20"/>
        <v>thing</v>
      </c>
      <c r="P214" s="27" t="str">
        <f t="shared" si="21"/>
        <v>lothing</v>
      </c>
      <c r="Q214" s="27" t="str">
        <f t="shared" si="22"/>
        <v>Clothing</v>
      </c>
      <c r="R214" s="27" t="str">
        <f t="shared" si="23"/>
        <v>positionothing</v>
      </c>
      <c r="S214" s="27" t="str">
        <f t="shared" si="24"/>
        <v>10213-Clothing-(North America)</v>
      </c>
      <c r="T214" s="27"/>
    </row>
    <row r="215" spans="1:20" x14ac:dyDescent="0.35">
      <c r="A215" s="4">
        <v>10214</v>
      </c>
      <c r="B215" s="5">
        <v>45505</v>
      </c>
      <c r="C215" s="6" t="s">
        <v>21</v>
      </c>
      <c r="D215" s="6" t="s">
        <v>190</v>
      </c>
      <c r="E215" s="6">
        <v>3</v>
      </c>
      <c r="F215" s="6">
        <v>10.99</v>
      </c>
      <c r="G215" s="6">
        <v>32.97</v>
      </c>
      <c r="H215" s="6" t="s">
        <v>11</v>
      </c>
      <c r="I215" s="7" t="s">
        <v>12</v>
      </c>
      <c r="J215" s="22">
        <f>(Table1[[#This Row],[Total Revenue]] * 0.18) + Table1[[#This Row],[Total Revenue]]</f>
        <v>38.904600000000002</v>
      </c>
      <c r="K215" s="6" t="str">
        <f>TRIM(Table1[[#This Row],[Product Name]])</f>
        <v>The Girl with the Dragon Tattoo by Stieg Larsson</v>
      </c>
      <c r="L215" s="6" t="str">
        <f>UPPER(Table1[[#This Row],[Trimmed words]])</f>
        <v>THE GIRL WITH THE DRAGON TATTOO BY STIEG LARSSON</v>
      </c>
      <c r="M215" s="26" t="str">
        <f>LOWER(Table1[[#This Row],[Upper function]])</f>
        <v>the girl with the dragon tattoo by stieg larsson</v>
      </c>
      <c r="N215" s="26" t="str">
        <f t="shared" si="19"/>
        <v>Boo</v>
      </c>
      <c r="O215" s="26" t="str">
        <f t="shared" si="20"/>
        <v>ks</v>
      </c>
      <c r="P215" s="27" t="str">
        <f t="shared" si="21"/>
        <v>Books</v>
      </c>
      <c r="Q215" s="27" t="str">
        <f t="shared" si="22"/>
        <v>Books</v>
      </c>
      <c r="R215" s="27" t="str">
        <f t="shared" si="23"/>
        <v>positionoks</v>
      </c>
      <c r="S215" s="27" t="str">
        <f t="shared" si="24"/>
        <v>10214-Books-(Europe)</v>
      </c>
      <c r="T215" s="27"/>
    </row>
    <row r="216" spans="1:20" x14ac:dyDescent="0.35">
      <c r="A216" s="4">
        <v>10215</v>
      </c>
      <c r="B216" s="5">
        <v>45506</v>
      </c>
      <c r="C216" s="6" t="s">
        <v>23</v>
      </c>
      <c r="D216" s="6" t="s">
        <v>230</v>
      </c>
      <c r="E216" s="6">
        <v>2</v>
      </c>
      <c r="F216" s="6">
        <v>29</v>
      </c>
      <c r="G216" s="6">
        <v>58</v>
      </c>
      <c r="H216" s="6" t="s">
        <v>15</v>
      </c>
      <c r="I216" s="7" t="s">
        <v>16</v>
      </c>
      <c r="J216" s="22">
        <f>(Table1[[#This Row],[Total Revenue]] * 0.18) + Table1[[#This Row],[Total Revenue]]</f>
        <v>68.44</v>
      </c>
      <c r="K216" s="6" t="str">
        <f>TRIM(Table1[[#This Row],[Product Name]])</f>
        <v>L'Occitane Shea Butter Hand Cream</v>
      </c>
      <c r="L216" s="6" t="str">
        <f>UPPER(Table1[[#This Row],[Trimmed words]])</f>
        <v>L'OCCITANE SHEA BUTTER HAND CREAM</v>
      </c>
      <c r="M216" s="26" t="str">
        <f>LOWER(Table1[[#This Row],[Upper function]])</f>
        <v>l'occitane shea butter hand cream</v>
      </c>
      <c r="N216" s="26" t="str">
        <f t="shared" si="19"/>
        <v>Bea</v>
      </c>
      <c r="O216" s="26" t="str">
        <f t="shared" si="20"/>
        <v>uty Prod</v>
      </c>
      <c r="P216" s="27" t="str">
        <f t="shared" si="21"/>
        <v>roducts</v>
      </c>
      <c r="Q216" s="27" t="str">
        <f t="shared" si="22"/>
        <v>Beworduty Products</v>
      </c>
      <c r="R216" s="27" t="str">
        <f t="shared" si="23"/>
        <v>positionauty Products</v>
      </c>
      <c r="S216" s="27" t="str">
        <f t="shared" si="24"/>
        <v>10215-Beauty Products-(Asia)</v>
      </c>
      <c r="T216" s="27"/>
    </row>
    <row r="217" spans="1:20" x14ac:dyDescent="0.35">
      <c r="A217" s="4">
        <v>10216</v>
      </c>
      <c r="B217" s="5">
        <v>45507</v>
      </c>
      <c r="C217" s="6" t="s">
        <v>25</v>
      </c>
      <c r="D217" s="6" t="s">
        <v>231</v>
      </c>
      <c r="E217" s="6">
        <v>1</v>
      </c>
      <c r="F217" s="6">
        <v>349.99</v>
      </c>
      <c r="G217" s="6">
        <v>349.99</v>
      </c>
      <c r="H217" s="6" t="s">
        <v>19</v>
      </c>
      <c r="I217" s="7" t="s">
        <v>12</v>
      </c>
      <c r="J217" s="22">
        <f>(Table1[[#This Row],[Total Revenue]] * 0.18) + Table1[[#This Row],[Total Revenue]]</f>
        <v>412.98820000000001</v>
      </c>
      <c r="K217" s="6" t="str">
        <f>TRIM(Table1[[#This Row],[Product Name]])</f>
        <v>YETI Tundra 65 Cooler</v>
      </c>
      <c r="L217" s="6" t="str">
        <f>UPPER(Table1[[#This Row],[Trimmed words]])</f>
        <v>YETI TUNDRA 65 COOLER</v>
      </c>
      <c r="M217" s="26" t="str">
        <f>LOWER(Table1[[#This Row],[Upper function]])</f>
        <v>yeti tundra 65 cooler</v>
      </c>
      <c r="N217" s="26" t="str">
        <f t="shared" si="19"/>
        <v>Spo</v>
      </c>
      <c r="O217" s="26" t="str">
        <f t="shared" si="20"/>
        <v>rts</v>
      </c>
      <c r="P217" s="27" t="str">
        <f t="shared" si="21"/>
        <v>Sports</v>
      </c>
      <c r="Q217" s="27" t="str">
        <f t="shared" si="22"/>
        <v>Sports</v>
      </c>
      <c r="R217" s="27" t="str">
        <f t="shared" si="23"/>
        <v>positionorts</v>
      </c>
      <c r="S217" s="27" t="str">
        <f t="shared" si="24"/>
        <v>10216-Sports-(North America)</v>
      </c>
      <c r="T217" s="27"/>
    </row>
    <row r="218" spans="1:20" x14ac:dyDescent="0.35">
      <c r="A218" s="4">
        <v>10217</v>
      </c>
      <c r="B218" s="5">
        <v>45508</v>
      </c>
      <c r="C218" s="6" t="s">
        <v>9</v>
      </c>
      <c r="D218" s="6" t="s">
        <v>232</v>
      </c>
      <c r="E218" s="6">
        <v>1</v>
      </c>
      <c r="F218" s="6">
        <v>2399</v>
      </c>
      <c r="G218" s="6">
        <v>2399</v>
      </c>
      <c r="H218" s="6" t="s">
        <v>11</v>
      </c>
      <c r="I218" s="7" t="s">
        <v>12</v>
      </c>
      <c r="J218" s="22">
        <f>(Table1[[#This Row],[Total Revenue]] * 0.18) + Table1[[#This Row],[Total Revenue]]</f>
        <v>2830.82</v>
      </c>
      <c r="K218" s="6" t="str">
        <f>TRIM(Table1[[#This Row],[Product Name]])</f>
        <v>Apple MacBook Pro 16-inch</v>
      </c>
      <c r="L218" s="6" t="str">
        <f>UPPER(Table1[[#This Row],[Trimmed words]])</f>
        <v>APPLE MACBOOK PRO 16-INCH</v>
      </c>
      <c r="M218" s="26" t="str">
        <f>LOWER(Table1[[#This Row],[Upper function]])</f>
        <v>apple macbook pro 16-inch</v>
      </c>
      <c r="N218" s="26" t="str">
        <f t="shared" si="19"/>
        <v>Ele</v>
      </c>
      <c r="O218" s="26" t="str">
        <f t="shared" si="20"/>
        <v>ctronics</v>
      </c>
      <c r="P218" s="27" t="str">
        <f t="shared" si="21"/>
        <v>tronics</v>
      </c>
      <c r="Q218" s="27" t="str">
        <f t="shared" si="22"/>
        <v>Electronics</v>
      </c>
      <c r="R218" s="27" t="str">
        <f t="shared" si="23"/>
        <v>positionectronics</v>
      </c>
      <c r="S218" s="27" t="str">
        <f t="shared" si="24"/>
        <v>10217-Electronics-(Europe)</v>
      </c>
      <c r="T218" s="27"/>
    </row>
    <row r="219" spans="1:20" x14ac:dyDescent="0.35">
      <c r="A219" s="4">
        <v>10218</v>
      </c>
      <c r="B219" s="5">
        <v>45509</v>
      </c>
      <c r="C219" s="6" t="s">
        <v>13</v>
      </c>
      <c r="D219" s="6" t="s">
        <v>233</v>
      </c>
      <c r="E219" s="6">
        <v>1</v>
      </c>
      <c r="F219" s="6">
        <v>449.99</v>
      </c>
      <c r="G219" s="6">
        <v>449.99</v>
      </c>
      <c r="H219" s="6" t="s">
        <v>15</v>
      </c>
      <c r="I219" s="7" t="s">
        <v>16</v>
      </c>
      <c r="J219" s="22">
        <f>(Table1[[#This Row],[Total Revenue]] * 0.18) + Table1[[#This Row],[Total Revenue]]</f>
        <v>530.98820000000001</v>
      </c>
      <c r="K219" s="6" t="str">
        <f>TRIM(Table1[[#This Row],[Product Name]])</f>
        <v>iRobot Braava Jet M6</v>
      </c>
      <c r="L219" s="6" t="str">
        <f>UPPER(Table1[[#This Row],[Trimmed words]])</f>
        <v>IROBOT BRAAVA JET M6</v>
      </c>
      <c r="M219" s="26" t="str">
        <f>LOWER(Table1[[#This Row],[Upper function]])</f>
        <v>irobot braava jet m6</v>
      </c>
      <c r="N219" s="26" t="str">
        <f t="shared" si="19"/>
        <v>Hom</v>
      </c>
      <c r="O219" s="26" t="str">
        <f t="shared" si="20"/>
        <v>e Applia</v>
      </c>
      <c r="P219" s="27" t="str">
        <f t="shared" si="21"/>
        <v>liances</v>
      </c>
      <c r="Q219" s="27" t="str">
        <f t="shared" si="22"/>
        <v>Home Appliwordnces</v>
      </c>
      <c r="R219" s="27" t="str">
        <f t="shared" si="23"/>
        <v>positionme Appliances</v>
      </c>
      <c r="S219" s="27" t="str">
        <f t="shared" si="24"/>
        <v>10218-Home Appliances-(Asia)</v>
      </c>
      <c r="T219" s="27"/>
    </row>
    <row r="220" spans="1:20" x14ac:dyDescent="0.35">
      <c r="A220" s="4">
        <v>10219</v>
      </c>
      <c r="B220" s="5">
        <v>45510</v>
      </c>
      <c r="C220" s="6" t="s">
        <v>17</v>
      </c>
      <c r="D220" s="6" t="s">
        <v>234</v>
      </c>
      <c r="E220" s="6">
        <v>3</v>
      </c>
      <c r="F220" s="6">
        <v>49.99</v>
      </c>
      <c r="G220" s="6">
        <v>149.97</v>
      </c>
      <c r="H220" s="6" t="s">
        <v>19</v>
      </c>
      <c r="I220" s="7" t="s">
        <v>20</v>
      </c>
      <c r="J220" s="22">
        <f>(Table1[[#This Row],[Total Revenue]] * 0.18) + Table1[[#This Row],[Total Revenue]]</f>
        <v>176.96459999999999</v>
      </c>
      <c r="K220" s="6" t="str">
        <f>TRIM(Table1[[#This Row],[Product Name]])</f>
        <v>Champion Reverse Weave Hoodie</v>
      </c>
      <c r="L220" s="6" t="str">
        <f>UPPER(Table1[[#This Row],[Trimmed words]])</f>
        <v>CHAMPION REVERSE WEAVE HOODIE</v>
      </c>
      <c r="M220" s="26" t="str">
        <f>LOWER(Table1[[#This Row],[Upper function]])</f>
        <v>champion reverse weave hoodie</v>
      </c>
      <c r="N220" s="26" t="str">
        <f t="shared" si="19"/>
        <v>Clo</v>
      </c>
      <c r="O220" s="26" t="str">
        <f t="shared" si="20"/>
        <v>thing</v>
      </c>
      <c r="P220" s="27" t="str">
        <f t="shared" si="21"/>
        <v>lothing</v>
      </c>
      <c r="Q220" s="27" t="str">
        <f t="shared" si="22"/>
        <v>Clothing</v>
      </c>
      <c r="R220" s="27" t="str">
        <f t="shared" si="23"/>
        <v>positionothing</v>
      </c>
      <c r="S220" s="27" t="str">
        <f t="shared" si="24"/>
        <v>10219-Clothing-(North America)</v>
      </c>
      <c r="T220" s="27"/>
    </row>
    <row r="221" spans="1:20" x14ac:dyDescent="0.35">
      <c r="A221" s="4">
        <v>10220</v>
      </c>
      <c r="B221" s="5">
        <v>45511</v>
      </c>
      <c r="C221" s="6" t="s">
        <v>21</v>
      </c>
      <c r="D221" s="6" t="s">
        <v>235</v>
      </c>
      <c r="E221" s="6">
        <v>2</v>
      </c>
      <c r="F221" s="6">
        <v>12.99</v>
      </c>
      <c r="G221" s="6">
        <v>25.98</v>
      </c>
      <c r="H221" s="6" t="s">
        <v>11</v>
      </c>
      <c r="I221" s="7" t="s">
        <v>12</v>
      </c>
      <c r="J221" s="22">
        <f>(Table1[[#This Row],[Total Revenue]] * 0.18) + Table1[[#This Row],[Total Revenue]]</f>
        <v>30.656400000000001</v>
      </c>
      <c r="K221" s="6" t="str">
        <f>TRIM(Table1[[#This Row],[Product Name]])</f>
        <v>The Nightingale by Kristin Hannah</v>
      </c>
      <c r="L221" s="6" t="str">
        <f>UPPER(Table1[[#This Row],[Trimmed words]])</f>
        <v>THE NIGHTINGALE BY KRISTIN HANNAH</v>
      </c>
      <c r="M221" s="26" t="str">
        <f>LOWER(Table1[[#This Row],[Upper function]])</f>
        <v>the nightingale by kristin hannah</v>
      </c>
      <c r="N221" s="26" t="str">
        <f t="shared" si="19"/>
        <v>Boo</v>
      </c>
      <c r="O221" s="26" t="str">
        <f t="shared" si="20"/>
        <v>ks</v>
      </c>
      <c r="P221" s="27" t="str">
        <f t="shared" si="21"/>
        <v>Books</v>
      </c>
      <c r="Q221" s="27" t="str">
        <f t="shared" si="22"/>
        <v>Books</v>
      </c>
      <c r="R221" s="27" t="str">
        <f t="shared" si="23"/>
        <v>positionoks</v>
      </c>
      <c r="S221" s="27" t="str">
        <f t="shared" si="24"/>
        <v>10220-Books-(Europe)</v>
      </c>
      <c r="T221" s="27"/>
    </row>
    <row r="222" spans="1:20" x14ac:dyDescent="0.35">
      <c r="A222" s="4">
        <v>10221</v>
      </c>
      <c r="B222" s="5">
        <v>45512</v>
      </c>
      <c r="C222" s="6" t="s">
        <v>23</v>
      </c>
      <c r="D222" s="6" t="s">
        <v>236</v>
      </c>
      <c r="E222" s="6">
        <v>1</v>
      </c>
      <c r="F222" s="6">
        <v>27</v>
      </c>
      <c r="G222" s="6">
        <v>27</v>
      </c>
      <c r="H222" s="6" t="s">
        <v>15</v>
      </c>
      <c r="I222" s="7" t="s">
        <v>16</v>
      </c>
      <c r="J222" s="22">
        <f>(Table1[[#This Row],[Total Revenue]] * 0.18) + Table1[[#This Row],[Total Revenue]]</f>
        <v>31.86</v>
      </c>
      <c r="K222" s="6" t="str">
        <f>TRIM(Table1[[#This Row],[Product Name]])</f>
        <v>Tarte Shape Tape Concealer</v>
      </c>
      <c r="L222" s="6" t="str">
        <f>UPPER(Table1[[#This Row],[Trimmed words]])</f>
        <v>TARTE SHAPE TAPE CONCEALER</v>
      </c>
      <c r="M222" s="26" t="str">
        <f>LOWER(Table1[[#This Row],[Upper function]])</f>
        <v>tarte shape tape concealer</v>
      </c>
      <c r="N222" s="26" t="str">
        <f t="shared" si="19"/>
        <v>Bea</v>
      </c>
      <c r="O222" s="26" t="str">
        <f t="shared" si="20"/>
        <v>uty Prod</v>
      </c>
      <c r="P222" s="27" t="str">
        <f t="shared" si="21"/>
        <v>roducts</v>
      </c>
      <c r="Q222" s="27" t="str">
        <f t="shared" si="22"/>
        <v>Beworduty Products</v>
      </c>
      <c r="R222" s="27" t="str">
        <f t="shared" si="23"/>
        <v>positionauty Products</v>
      </c>
      <c r="S222" s="27" t="str">
        <f t="shared" si="24"/>
        <v>10221-Beauty Products-(Asia)</v>
      </c>
      <c r="T222" s="27"/>
    </row>
    <row r="223" spans="1:20" x14ac:dyDescent="0.35">
      <c r="A223" s="4">
        <v>10222</v>
      </c>
      <c r="B223" s="5">
        <v>45513</v>
      </c>
      <c r="C223" s="6" t="s">
        <v>25</v>
      </c>
      <c r="D223" s="6" t="s">
        <v>39</v>
      </c>
      <c r="E223" s="6">
        <v>1</v>
      </c>
      <c r="F223" s="6">
        <v>599.99</v>
      </c>
      <c r="G223" s="6">
        <v>599.99</v>
      </c>
      <c r="H223" s="6" t="s">
        <v>19</v>
      </c>
      <c r="I223" s="7" t="s">
        <v>12</v>
      </c>
      <c r="J223" s="22">
        <f>(Table1[[#This Row],[Total Revenue]] * 0.18) + Table1[[#This Row],[Total Revenue]]</f>
        <v>707.98820000000001</v>
      </c>
      <c r="K223" s="6" t="str">
        <f>TRIM(Table1[[#This Row],[Product Name]])</f>
        <v>Garmin Forerunner 945</v>
      </c>
      <c r="L223" s="6" t="str">
        <f>UPPER(Table1[[#This Row],[Trimmed words]])</f>
        <v>GARMIN FORERUNNER 945</v>
      </c>
      <c r="M223" s="26" t="str">
        <f>LOWER(Table1[[#This Row],[Upper function]])</f>
        <v>garmin forerunner 945</v>
      </c>
      <c r="N223" s="26" t="str">
        <f t="shared" si="19"/>
        <v>Spo</v>
      </c>
      <c r="O223" s="26" t="str">
        <f t="shared" si="20"/>
        <v>rts</v>
      </c>
      <c r="P223" s="27" t="str">
        <f t="shared" si="21"/>
        <v>Sports</v>
      </c>
      <c r="Q223" s="27" t="str">
        <f t="shared" si="22"/>
        <v>Sports</v>
      </c>
      <c r="R223" s="27" t="str">
        <f t="shared" si="23"/>
        <v>positionorts</v>
      </c>
      <c r="S223" s="27" t="str">
        <f t="shared" si="24"/>
        <v>10222-Sports-(North America)</v>
      </c>
      <c r="T223" s="27"/>
    </row>
    <row r="224" spans="1:20" x14ac:dyDescent="0.35">
      <c r="A224" s="4">
        <v>10223</v>
      </c>
      <c r="B224" s="5">
        <v>45514</v>
      </c>
      <c r="C224" s="6" t="s">
        <v>9</v>
      </c>
      <c r="D224" s="6" t="s">
        <v>237</v>
      </c>
      <c r="E224" s="6">
        <v>4</v>
      </c>
      <c r="F224" s="6">
        <v>49.99</v>
      </c>
      <c r="G224" s="6">
        <v>199.96</v>
      </c>
      <c r="H224" s="6" t="s">
        <v>11</v>
      </c>
      <c r="I224" s="7" t="s">
        <v>12</v>
      </c>
      <c r="J224" s="22">
        <f>(Table1[[#This Row],[Total Revenue]] * 0.18) + Table1[[#This Row],[Total Revenue]]</f>
        <v>235.95280000000002</v>
      </c>
      <c r="K224" s="6" t="str">
        <f>TRIM(Table1[[#This Row],[Product Name]])</f>
        <v>Amazon Echo Dot (4th Gen)</v>
      </c>
      <c r="L224" s="6" t="str">
        <f>UPPER(Table1[[#This Row],[Trimmed words]])</f>
        <v>AMAZON ECHO DOT (4TH GEN)</v>
      </c>
      <c r="M224" s="26" t="str">
        <f>LOWER(Table1[[#This Row],[Upper function]])</f>
        <v>amazon echo dot (4th gen)</v>
      </c>
      <c r="N224" s="26" t="str">
        <f t="shared" si="19"/>
        <v>Ele</v>
      </c>
      <c r="O224" s="26" t="str">
        <f t="shared" si="20"/>
        <v>ctronics</v>
      </c>
      <c r="P224" s="27" t="str">
        <f t="shared" si="21"/>
        <v>tronics</v>
      </c>
      <c r="Q224" s="27" t="str">
        <f t="shared" si="22"/>
        <v>Electronics</v>
      </c>
      <c r="R224" s="27" t="str">
        <f t="shared" si="23"/>
        <v>positionectronics</v>
      </c>
      <c r="S224" s="27" t="str">
        <f t="shared" si="24"/>
        <v>10223-Electronics-(Europe)</v>
      </c>
      <c r="T224" s="27"/>
    </row>
    <row r="225" spans="1:20" x14ac:dyDescent="0.35">
      <c r="A225" s="4">
        <v>10224</v>
      </c>
      <c r="B225" s="5">
        <v>45515</v>
      </c>
      <c r="C225" s="6" t="s">
        <v>13</v>
      </c>
      <c r="D225" s="6" t="s">
        <v>238</v>
      </c>
      <c r="E225" s="6">
        <v>2</v>
      </c>
      <c r="F225" s="6">
        <v>229.99</v>
      </c>
      <c r="G225" s="6">
        <v>459.98</v>
      </c>
      <c r="H225" s="6" t="s">
        <v>15</v>
      </c>
      <c r="I225" s="7" t="s">
        <v>16</v>
      </c>
      <c r="J225" s="22">
        <f>(Table1[[#This Row],[Total Revenue]] * 0.18) + Table1[[#This Row],[Total Revenue]]</f>
        <v>542.77639999999997</v>
      </c>
      <c r="K225" s="6" t="str">
        <f>TRIM(Table1[[#This Row],[Product Name]])</f>
        <v>Philips Sonicare DiamondClean Toothbrush</v>
      </c>
      <c r="L225" s="6" t="str">
        <f>UPPER(Table1[[#This Row],[Trimmed words]])</f>
        <v>PHILIPS SONICARE DIAMONDCLEAN TOOTHBRUSH</v>
      </c>
      <c r="M225" s="26" t="str">
        <f>LOWER(Table1[[#This Row],[Upper function]])</f>
        <v>philips sonicare diamondclean toothbrush</v>
      </c>
      <c r="N225" s="26" t="str">
        <f t="shared" si="19"/>
        <v>Hom</v>
      </c>
      <c r="O225" s="26" t="str">
        <f t="shared" si="20"/>
        <v>e Applia</v>
      </c>
      <c r="P225" s="27" t="str">
        <f t="shared" si="21"/>
        <v>liances</v>
      </c>
      <c r="Q225" s="27" t="str">
        <f t="shared" si="22"/>
        <v>Home Appliwordnces</v>
      </c>
      <c r="R225" s="27" t="str">
        <f t="shared" si="23"/>
        <v>positionme Appliances</v>
      </c>
      <c r="S225" s="27" t="str">
        <f t="shared" si="24"/>
        <v>10224-Home Appliances-(Asia)</v>
      </c>
      <c r="T225" s="27"/>
    </row>
    <row r="226" spans="1:20" x14ac:dyDescent="0.35">
      <c r="A226" s="4">
        <v>10225</v>
      </c>
      <c r="B226" s="5">
        <v>45516</v>
      </c>
      <c r="C226" s="6" t="s">
        <v>17</v>
      </c>
      <c r="D226" s="6" t="s">
        <v>239</v>
      </c>
      <c r="E226" s="6">
        <v>2</v>
      </c>
      <c r="F226" s="6">
        <v>44.99</v>
      </c>
      <c r="G226" s="6">
        <v>89.98</v>
      </c>
      <c r="H226" s="6" t="s">
        <v>19</v>
      </c>
      <c r="I226" s="7" t="s">
        <v>20</v>
      </c>
      <c r="J226" s="22">
        <f>(Table1[[#This Row],[Total Revenue]] * 0.18) + Table1[[#This Row],[Total Revenue]]</f>
        <v>106.1764</v>
      </c>
      <c r="K226" s="6" t="str">
        <f>TRIM(Table1[[#This Row],[Product Name]])</f>
        <v>Old Navy Mid-Rise Rockstar Super Skinny Jeans</v>
      </c>
      <c r="L226" s="6" t="str">
        <f>UPPER(Table1[[#This Row],[Trimmed words]])</f>
        <v>OLD NAVY MID-RISE ROCKSTAR SUPER SKINNY JEANS</v>
      </c>
      <c r="M226" s="26" t="str">
        <f>LOWER(Table1[[#This Row],[Upper function]])</f>
        <v>old navy mid-rise rockstar super skinny jeans</v>
      </c>
      <c r="N226" s="26" t="str">
        <f t="shared" si="19"/>
        <v>Clo</v>
      </c>
      <c r="O226" s="26" t="str">
        <f t="shared" si="20"/>
        <v>thing</v>
      </c>
      <c r="P226" s="27" t="str">
        <f t="shared" si="21"/>
        <v>lothing</v>
      </c>
      <c r="Q226" s="27" t="str">
        <f t="shared" si="22"/>
        <v>Clothing</v>
      </c>
      <c r="R226" s="27" t="str">
        <f t="shared" si="23"/>
        <v>positionothing</v>
      </c>
      <c r="S226" s="27" t="str">
        <f t="shared" si="24"/>
        <v>10225-Clothing-(North America)</v>
      </c>
      <c r="T226" s="27"/>
    </row>
    <row r="227" spans="1:20" x14ac:dyDescent="0.35">
      <c r="A227" s="4">
        <v>10226</v>
      </c>
      <c r="B227" s="5">
        <v>45517</v>
      </c>
      <c r="C227" s="6" t="s">
        <v>21</v>
      </c>
      <c r="D227" s="6" t="s">
        <v>72</v>
      </c>
      <c r="E227" s="6">
        <v>3</v>
      </c>
      <c r="F227" s="6">
        <v>26.99</v>
      </c>
      <c r="G227" s="6">
        <v>80.97</v>
      </c>
      <c r="H227" s="6" t="s">
        <v>11</v>
      </c>
      <c r="I227" s="7" t="s">
        <v>12</v>
      </c>
      <c r="J227" s="22">
        <f>(Table1[[#This Row],[Total Revenue]] * 0.18) + Table1[[#This Row],[Total Revenue]]</f>
        <v>95.544600000000003</v>
      </c>
      <c r="K227" s="6" t="str">
        <f>TRIM(Table1[[#This Row],[Product Name]])</f>
        <v>The Silent Patient by Alex Michaelides</v>
      </c>
      <c r="L227" s="6" t="str">
        <f>UPPER(Table1[[#This Row],[Trimmed words]])</f>
        <v>THE SILENT PATIENT BY ALEX MICHAELIDES</v>
      </c>
      <c r="M227" s="26" t="str">
        <f>LOWER(Table1[[#This Row],[Upper function]])</f>
        <v>the silent patient by alex michaelides</v>
      </c>
      <c r="N227" s="26" t="str">
        <f t="shared" si="19"/>
        <v>Boo</v>
      </c>
      <c r="O227" s="26" t="str">
        <f t="shared" si="20"/>
        <v>ks</v>
      </c>
      <c r="P227" s="27" t="str">
        <f t="shared" si="21"/>
        <v>Books</v>
      </c>
      <c r="Q227" s="27" t="str">
        <f t="shared" si="22"/>
        <v>Books</v>
      </c>
      <c r="R227" s="27" t="str">
        <f t="shared" si="23"/>
        <v>positionoks</v>
      </c>
      <c r="S227" s="27" t="str">
        <f t="shared" si="24"/>
        <v>10226-Books-(Europe)</v>
      </c>
      <c r="T227" s="27"/>
    </row>
    <row r="228" spans="1:20" x14ac:dyDescent="0.35">
      <c r="A228" s="4">
        <v>10227</v>
      </c>
      <c r="B228" s="5">
        <v>45518</v>
      </c>
      <c r="C228" s="6" t="s">
        <v>23</v>
      </c>
      <c r="D228" s="6" t="s">
        <v>240</v>
      </c>
      <c r="E228" s="6">
        <v>1</v>
      </c>
      <c r="F228" s="6">
        <v>6.7</v>
      </c>
      <c r="G228" s="6">
        <v>6.7</v>
      </c>
      <c r="H228" s="6" t="s">
        <v>15</v>
      </c>
      <c r="I228" s="7" t="s">
        <v>16</v>
      </c>
      <c r="J228" s="22">
        <f>(Table1[[#This Row],[Total Revenue]] * 0.18) + Table1[[#This Row],[Total Revenue]]</f>
        <v>7.9060000000000006</v>
      </c>
      <c r="K228" s="6" t="str">
        <f>TRIM(Table1[[#This Row],[Product Name]])</f>
        <v>The Ordinary Caffeine Solution 5% + EGCG</v>
      </c>
      <c r="L228" s="6" t="str">
        <f>UPPER(Table1[[#This Row],[Trimmed words]])</f>
        <v>THE ORDINARY CAFFEINE SOLUTION 5% + EGCG</v>
      </c>
      <c r="M228" s="26" t="str">
        <f>LOWER(Table1[[#This Row],[Upper function]])</f>
        <v>the ordinary caffeine solution 5% + egcg</v>
      </c>
      <c r="N228" s="26" t="str">
        <f t="shared" si="19"/>
        <v>Bea</v>
      </c>
      <c r="O228" s="26" t="str">
        <f t="shared" si="20"/>
        <v>uty Prod</v>
      </c>
      <c r="P228" s="27" t="str">
        <f t="shared" si="21"/>
        <v>roducts</v>
      </c>
      <c r="Q228" s="27" t="str">
        <f t="shared" si="22"/>
        <v>Beworduty Products</v>
      </c>
      <c r="R228" s="27" t="str">
        <f t="shared" si="23"/>
        <v>positionauty Products</v>
      </c>
      <c r="S228" s="27" t="str">
        <f t="shared" si="24"/>
        <v>10227-Beauty Products-(Asia)</v>
      </c>
      <c r="T228" s="27"/>
    </row>
    <row r="229" spans="1:20" x14ac:dyDescent="0.35">
      <c r="A229" s="4">
        <v>10228</v>
      </c>
      <c r="B229" s="5">
        <v>45519</v>
      </c>
      <c r="C229" s="6" t="s">
        <v>25</v>
      </c>
      <c r="D229" s="6" t="s">
        <v>241</v>
      </c>
      <c r="E229" s="6">
        <v>2</v>
      </c>
      <c r="F229" s="6">
        <v>149.94999999999999</v>
      </c>
      <c r="G229" s="6">
        <v>299.89999999999998</v>
      </c>
      <c r="H229" s="6" t="s">
        <v>19</v>
      </c>
      <c r="I229" s="7" t="s">
        <v>12</v>
      </c>
      <c r="J229" s="22">
        <f>(Table1[[#This Row],[Total Revenue]] * 0.18) + Table1[[#This Row],[Total Revenue]]</f>
        <v>353.88199999999995</v>
      </c>
      <c r="K229" s="6" t="str">
        <f>TRIM(Table1[[#This Row],[Product Name]])</f>
        <v>Fitbit Luxe</v>
      </c>
      <c r="L229" s="6" t="str">
        <f>UPPER(Table1[[#This Row],[Trimmed words]])</f>
        <v>FITBIT LUXE</v>
      </c>
      <c r="M229" s="26" t="str">
        <f>LOWER(Table1[[#This Row],[Upper function]])</f>
        <v>fitbit luxe</v>
      </c>
      <c r="N229" s="26" t="str">
        <f t="shared" si="19"/>
        <v>Spo</v>
      </c>
      <c r="O229" s="26" t="str">
        <f t="shared" si="20"/>
        <v>rts</v>
      </c>
      <c r="P229" s="27" t="str">
        <f t="shared" si="21"/>
        <v>Sports</v>
      </c>
      <c r="Q229" s="27" t="str">
        <f t="shared" si="22"/>
        <v>Sports</v>
      </c>
      <c r="R229" s="27" t="str">
        <f t="shared" si="23"/>
        <v>positionorts</v>
      </c>
      <c r="S229" s="27" t="str">
        <f t="shared" si="24"/>
        <v>10228-Sports-(North America)</v>
      </c>
      <c r="T229" s="27"/>
    </row>
    <row r="230" spans="1:20" x14ac:dyDescent="0.35">
      <c r="A230" s="4">
        <v>10229</v>
      </c>
      <c r="B230" s="5">
        <v>45520</v>
      </c>
      <c r="C230" s="6" t="s">
        <v>9</v>
      </c>
      <c r="D230" s="6" t="s">
        <v>242</v>
      </c>
      <c r="E230" s="6">
        <v>1</v>
      </c>
      <c r="F230" s="6">
        <v>169</v>
      </c>
      <c r="G230" s="6">
        <v>169</v>
      </c>
      <c r="H230" s="6" t="s">
        <v>11</v>
      </c>
      <c r="I230" s="7" t="s">
        <v>12</v>
      </c>
      <c r="J230" s="22">
        <f>(Table1[[#This Row],[Total Revenue]] * 0.18) + Table1[[#This Row],[Total Revenue]]</f>
        <v>199.42</v>
      </c>
      <c r="K230" s="6" t="str">
        <f>TRIM(Table1[[#This Row],[Product Name]])</f>
        <v>Google Nest Wifi Router</v>
      </c>
      <c r="L230" s="6" t="str">
        <f>UPPER(Table1[[#This Row],[Trimmed words]])</f>
        <v>GOOGLE NEST WIFI ROUTER</v>
      </c>
      <c r="M230" s="26" t="str">
        <f>LOWER(Table1[[#This Row],[Upper function]])</f>
        <v>google nest wifi router</v>
      </c>
      <c r="N230" s="26" t="str">
        <f t="shared" si="19"/>
        <v>Ele</v>
      </c>
      <c r="O230" s="26" t="str">
        <f t="shared" si="20"/>
        <v>ctronics</v>
      </c>
      <c r="P230" s="27" t="str">
        <f t="shared" si="21"/>
        <v>tronics</v>
      </c>
      <c r="Q230" s="27" t="str">
        <f t="shared" si="22"/>
        <v>Electronics</v>
      </c>
      <c r="R230" s="27" t="str">
        <f t="shared" si="23"/>
        <v>positionectronics</v>
      </c>
      <c r="S230" s="27" t="str">
        <f t="shared" si="24"/>
        <v>10229-Electronics-(Europe)</v>
      </c>
      <c r="T230" s="27"/>
    </row>
    <row r="231" spans="1:20" x14ac:dyDescent="0.35">
      <c r="A231" s="4">
        <v>10230</v>
      </c>
      <c r="B231" s="5">
        <v>45521</v>
      </c>
      <c r="C231" s="6" t="s">
        <v>13</v>
      </c>
      <c r="D231" s="6" t="s">
        <v>243</v>
      </c>
      <c r="E231" s="6">
        <v>1</v>
      </c>
      <c r="F231" s="6">
        <v>599</v>
      </c>
      <c r="G231" s="6">
        <v>599</v>
      </c>
      <c r="H231" s="6" t="s">
        <v>15</v>
      </c>
      <c r="I231" s="7" t="s">
        <v>16</v>
      </c>
      <c r="J231" s="22">
        <f>(Table1[[#This Row],[Total Revenue]] * 0.18) + Table1[[#This Row],[Total Revenue]]</f>
        <v>706.81999999999994</v>
      </c>
      <c r="K231" s="6" t="str">
        <f>TRIM(Table1[[#This Row],[Product Name]])</f>
        <v>Anova Precision Oven</v>
      </c>
      <c r="L231" s="6" t="str">
        <f>UPPER(Table1[[#This Row],[Trimmed words]])</f>
        <v>ANOVA PRECISION OVEN</v>
      </c>
      <c r="M231" s="26" t="str">
        <f>LOWER(Table1[[#This Row],[Upper function]])</f>
        <v>anova precision oven</v>
      </c>
      <c r="N231" s="26" t="str">
        <f t="shared" si="19"/>
        <v>Hom</v>
      </c>
      <c r="O231" s="26" t="str">
        <f t="shared" si="20"/>
        <v>e Applia</v>
      </c>
      <c r="P231" s="27" t="str">
        <f t="shared" si="21"/>
        <v>liances</v>
      </c>
      <c r="Q231" s="27" t="str">
        <f t="shared" si="22"/>
        <v>Home Appliwordnces</v>
      </c>
      <c r="R231" s="27" t="str">
        <f t="shared" si="23"/>
        <v>positionme Appliances</v>
      </c>
      <c r="S231" s="27" t="str">
        <f t="shared" si="24"/>
        <v>10230-Home Appliances-(Asia)</v>
      </c>
      <c r="T231" s="27"/>
    </row>
    <row r="232" spans="1:20" x14ac:dyDescent="0.35">
      <c r="A232" s="4">
        <v>10231</v>
      </c>
      <c r="B232" s="5">
        <v>45522</v>
      </c>
      <c r="C232" s="6" t="s">
        <v>17</v>
      </c>
      <c r="D232" s="6" t="s">
        <v>244</v>
      </c>
      <c r="E232" s="6">
        <v>4</v>
      </c>
      <c r="F232" s="6">
        <v>64.989999999999995</v>
      </c>
      <c r="G232" s="6">
        <v>259.95999999999998</v>
      </c>
      <c r="H232" s="6" t="s">
        <v>19</v>
      </c>
      <c r="I232" s="7" t="s">
        <v>20</v>
      </c>
      <c r="J232" s="22">
        <f>(Table1[[#This Row],[Total Revenue]] * 0.18) + Table1[[#This Row],[Total Revenue]]</f>
        <v>306.75279999999998</v>
      </c>
      <c r="K232" s="6" t="str">
        <f>TRIM(Table1[[#This Row],[Product Name]])</f>
        <v>Adidas Originals Trefoil Hoodie</v>
      </c>
      <c r="L232" s="6" t="str">
        <f>UPPER(Table1[[#This Row],[Trimmed words]])</f>
        <v>ADIDAS ORIGINALS TREFOIL HOODIE</v>
      </c>
      <c r="M232" s="26" t="str">
        <f>LOWER(Table1[[#This Row],[Upper function]])</f>
        <v>adidas originals trefoil hoodie</v>
      </c>
      <c r="N232" s="26" t="str">
        <f t="shared" si="19"/>
        <v>Clo</v>
      </c>
      <c r="O232" s="26" t="str">
        <f t="shared" si="20"/>
        <v>thing</v>
      </c>
      <c r="P232" s="27" t="str">
        <f t="shared" si="21"/>
        <v>lothing</v>
      </c>
      <c r="Q232" s="27" t="str">
        <f t="shared" si="22"/>
        <v>Clothing</v>
      </c>
      <c r="R232" s="27" t="str">
        <f t="shared" si="23"/>
        <v>positionothing</v>
      </c>
      <c r="S232" s="27" t="str">
        <f t="shared" si="24"/>
        <v>10231-Clothing-(North America)</v>
      </c>
      <c r="T232" s="27"/>
    </row>
    <row r="233" spans="1:20" x14ac:dyDescent="0.35">
      <c r="A233" s="4">
        <v>10232</v>
      </c>
      <c r="B233" s="5">
        <v>45523</v>
      </c>
      <c r="C233" s="6" t="s">
        <v>21</v>
      </c>
      <c r="D233" s="6" t="s">
        <v>30</v>
      </c>
      <c r="E233" s="6">
        <v>2</v>
      </c>
      <c r="F233" s="6">
        <v>9.99</v>
      </c>
      <c r="G233" s="6">
        <v>19.98</v>
      </c>
      <c r="H233" s="6" t="s">
        <v>11</v>
      </c>
      <c r="I233" s="7" t="s">
        <v>12</v>
      </c>
      <c r="J233" s="22">
        <f>(Table1[[#This Row],[Total Revenue]] * 0.18) + Table1[[#This Row],[Total Revenue]]</f>
        <v>23.5764</v>
      </c>
      <c r="K233" s="6" t="str">
        <f>TRIM(Table1[[#This Row],[Product Name]])</f>
        <v>Dune by Frank Herbert</v>
      </c>
      <c r="L233" s="6" t="str">
        <f>UPPER(Table1[[#This Row],[Trimmed words]])</f>
        <v>DUNE BY FRANK HERBERT</v>
      </c>
      <c r="M233" s="26" t="str">
        <f>LOWER(Table1[[#This Row],[Upper function]])</f>
        <v>dune by frank herbert</v>
      </c>
      <c r="N233" s="26" t="str">
        <f t="shared" si="19"/>
        <v>Boo</v>
      </c>
      <c r="O233" s="26" t="str">
        <f t="shared" si="20"/>
        <v>ks</v>
      </c>
      <c r="P233" s="27" t="str">
        <f t="shared" si="21"/>
        <v>Books</v>
      </c>
      <c r="Q233" s="27" t="str">
        <f t="shared" si="22"/>
        <v>Books</v>
      </c>
      <c r="R233" s="27" t="str">
        <f t="shared" si="23"/>
        <v>positionoks</v>
      </c>
      <c r="S233" s="27" t="str">
        <f t="shared" si="24"/>
        <v>10232-Books-(Europe)</v>
      </c>
      <c r="T233" s="27"/>
    </row>
    <row r="234" spans="1:20" x14ac:dyDescent="0.35">
      <c r="A234" s="4">
        <v>10233</v>
      </c>
      <c r="B234" s="5">
        <v>45524</v>
      </c>
      <c r="C234" s="6" t="s">
        <v>23</v>
      </c>
      <c r="D234" s="6" t="s">
        <v>245</v>
      </c>
      <c r="E234" s="6">
        <v>1</v>
      </c>
      <c r="F234" s="6">
        <v>24</v>
      </c>
      <c r="G234" s="6">
        <v>24</v>
      </c>
      <c r="H234" s="6" t="s">
        <v>15</v>
      </c>
      <c r="I234" s="7" t="s">
        <v>16</v>
      </c>
      <c r="J234" s="22">
        <f>(Table1[[#This Row],[Total Revenue]] * 0.18) + Table1[[#This Row],[Total Revenue]]</f>
        <v>28.32</v>
      </c>
      <c r="K234" s="6" t="str">
        <f>TRIM(Table1[[#This Row],[Product Name]])</f>
        <v>Fresh Sugar Lip Treatment</v>
      </c>
      <c r="L234" s="6" t="str">
        <f>UPPER(Table1[[#This Row],[Trimmed words]])</f>
        <v>FRESH SUGAR LIP TREATMENT</v>
      </c>
      <c r="M234" s="26" t="str">
        <f>LOWER(Table1[[#This Row],[Upper function]])</f>
        <v>fresh sugar lip treatment</v>
      </c>
      <c r="N234" s="26" t="str">
        <f t="shared" si="19"/>
        <v>Bea</v>
      </c>
      <c r="O234" s="26" t="str">
        <f t="shared" si="20"/>
        <v>uty Prod</v>
      </c>
      <c r="P234" s="27" t="str">
        <f t="shared" si="21"/>
        <v>roducts</v>
      </c>
      <c r="Q234" s="27" t="str">
        <f t="shared" si="22"/>
        <v>Beworduty Products</v>
      </c>
      <c r="R234" s="27" t="str">
        <f t="shared" si="23"/>
        <v>positionauty Products</v>
      </c>
      <c r="S234" s="27" t="str">
        <f t="shared" si="24"/>
        <v>10233-Beauty Products-(Asia)</v>
      </c>
      <c r="T234" s="27"/>
    </row>
    <row r="235" spans="1:20" x14ac:dyDescent="0.35">
      <c r="A235" s="4">
        <v>10234</v>
      </c>
      <c r="B235" s="5">
        <v>45525</v>
      </c>
      <c r="C235" s="6" t="s">
        <v>25</v>
      </c>
      <c r="D235" s="6" t="s">
        <v>246</v>
      </c>
      <c r="E235" s="6">
        <v>3</v>
      </c>
      <c r="F235" s="6">
        <v>32.950000000000003</v>
      </c>
      <c r="G235" s="6">
        <v>98.85</v>
      </c>
      <c r="H235" s="6" t="s">
        <v>19</v>
      </c>
      <c r="I235" s="7" t="s">
        <v>12</v>
      </c>
      <c r="J235" s="22">
        <f>(Table1[[#This Row],[Total Revenue]] * 0.18) + Table1[[#This Row],[Total Revenue]]</f>
        <v>116.643</v>
      </c>
      <c r="K235" s="6" t="str">
        <f>TRIM(Table1[[#This Row],[Product Name]])</f>
        <v>Hydro Flask Standard Mouth Water Bottle</v>
      </c>
      <c r="L235" s="6" t="str">
        <f>UPPER(Table1[[#This Row],[Trimmed words]])</f>
        <v>HYDRO FLASK STANDARD MOUTH WATER BOTTLE</v>
      </c>
      <c r="M235" s="26" t="str">
        <f>LOWER(Table1[[#This Row],[Upper function]])</f>
        <v>hydro flask standard mouth water bottle</v>
      </c>
      <c r="N235" s="26" t="str">
        <f t="shared" si="19"/>
        <v>Spo</v>
      </c>
      <c r="O235" s="26" t="str">
        <f t="shared" si="20"/>
        <v>rts</v>
      </c>
      <c r="P235" s="27" t="str">
        <f t="shared" si="21"/>
        <v>Sports</v>
      </c>
      <c r="Q235" s="27" t="str">
        <f t="shared" si="22"/>
        <v>Sports</v>
      </c>
      <c r="R235" s="27" t="str">
        <f t="shared" si="23"/>
        <v>positionorts</v>
      </c>
      <c r="S235" s="27" t="str">
        <f t="shared" si="24"/>
        <v>10234-Sports-(North America)</v>
      </c>
      <c r="T235" s="27"/>
    </row>
    <row r="236" spans="1:20" x14ac:dyDescent="0.35">
      <c r="A236" s="4">
        <v>10235</v>
      </c>
      <c r="B236" s="5">
        <v>45526</v>
      </c>
      <c r="C236" s="6" t="s">
        <v>9</v>
      </c>
      <c r="D236" s="6" t="s">
        <v>247</v>
      </c>
      <c r="E236" s="6">
        <v>1</v>
      </c>
      <c r="F236" s="6">
        <v>299</v>
      </c>
      <c r="G236" s="6">
        <v>299</v>
      </c>
      <c r="H236" s="6" t="s">
        <v>11</v>
      </c>
      <c r="I236" s="7" t="s">
        <v>12</v>
      </c>
      <c r="J236" s="22">
        <f>(Table1[[#This Row],[Total Revenue]] * 0.18) + Table1[[#This Row],[Total Revenue]]</f>
        <v>352.82</v>
      </c>
      <c r="K236" s="6" t="str">
        <f>TRIM(Table1[[#This Row],[Product Name]])</f>
        <v>Bose QuietComfort 35 II Wireless Headphones</v>
      </c>
      <c r="L236" s="6" t="str">
        <f>UPPER(Table1[[#This Row],[Trimmed words]])</f>
        <v>BOSE QUIETCOMFORT 35 II WIRELESS HEADPHONES</v>
      </c>
      <c r="M236" s="26" t="str">
        <f>LOWER(Table1[[#This Row],[Upper function]])</f>
        <v>bose quietcomfort 35 ii wireless headphones</v>
      </c>
      <c r="N236" s="26" t="str">
        <f t="shared" si="19"/>
        <v>Ele</v>
      </c>
      <c r="O236" s="26" t="str">
        <f t="shared" si="20"/>
        <v>ctronics</v>
      </c>
      <c r="P236" s="27" t="str">
        <f t="shared" si="21"/>
        <v>tronics</v>
      </c>
      <c r="Q236" s="27" t="str">
        <f t="shared" si="22"/>
        <v>Electronics</v>
      </c>
      <c r="R236" s="27" t="str">
        <f t="shared" si="23"/>
        <v>positionectronics</v>
      </c>
      <c r="S236" s="27" t="str">
        <f t="shared" si="24"/>
        <v>10235-Electronics-(Europe)</v>
      </c>
      <c r="T236" s="27"/>
    </row>
    <row r="237" spans="1:20" x14ac:dyDescent="0.35">
      <c r="A237" s="4">
        <v>10236</v>
      </c>
      <c r="B237" s="5">
        <v>45527</v>
      </c>
      <c r="C237" s="6" t="s">
        <v>13</v>
      </c>
      <c r="D237" s="6" t="s">
        <v>248</v>
      </c>
      <c r="E237" s="6">
        <v>1</v>
      </c>
      <c r="F237" s="6">
        <v>159.99</v>
      </c>
      <c r="G237" s="6">
        <v>159.99</v>
      </c>
      <c r="H237" s="6" t="s">
        <v>15</v>
      </c>
      <c r="I237" s="7" t="s">
        <v>16</v>
      </c>
      <c r="J237" s="22">
        <f>(Table1[[#This Row],[Total Revenue]] * 0.18) + Table1[[#This Row],[Total Revenue]]</f>
        <v>188.78820000000002</v>
      </c>
      <c r="K237" s="6" t="str">
        <f>TRIM(Table1[[#This Row],[Product Name]])</f>
        <v>Nespresso Vertuo Next Coffee and Espresso Maker</v>
      </c>
      <c r="L237" s="6" t="str">
        <f>UPPER(Table1[[#This Row],[Trimmed words]])</f>
        <v>NESPRESSO VERTUO NEXT COFFEE AND ESPRESSO MAKER</v>
      </c>
      <c r="M237" s="26" t="str">
        <f>LOWER(Table1[[#This Row],[Upper function]])</f>
        <v>nespresso vertuo next coffee and espresso maker</v>
      </c>
      <c r="N237" s="26" t="str">
        <f t="shared" si="19"/>
        <v>Hom</v>
      </c>
      <c r="O237" s="26" t="str">
        <f t="shared" si="20"/>
        <v>e Applia</v>
      </c>
      <c r="P237" s="27" t="str">
        <f t="shared" si="21"/>
        <v>liances</v>
      </c>
      <c r="Q237" s="27" t="str">
        <f t="shared" si="22"/>
        <v>Home Appliwordnces</v>
      </c>
      <c r="R237" s="27" t="str">
        <f t="shared" si="23"/>
        <v>positionme Appliances</v>
      </c>
      <c r="S237" s="27" t="str">
        <f t="shared" si="24"/>
        <v>10236-Home Appliances-(Asia)</v>
      </c>
      <c r="T237" s="27"/>
    </row>
    <row r="238" spans="1:20" x14ac:dyDescent="0.35">
      <c r="A238" s="4">
        <v>10237</v>
      </c>
      <c r="B238" s="5">
        <v>45528</v>
      </c>
      <c r="C238" s="6" t="s">
        <v>17</v>
      </c>
      <c r="D238" s="6" t="s">
        <v>249</v>
      </c>
      <c r="E238" s="6">
        <v>3</v>
      </c>
      <c r="F238" s="6">
        <v>90</v>
      </c>
      <c r="G238" s="6">
        <v>270</v>
      </c>
      <c r="H238" s="6" t="s">
        <v>19</v>
      </c>
      <c r="I238" s="7" t="s">
        <v>20</v>
      </c>
      <c r="J238" s="22">
        <f>(Table1[[#This Row],[Total Revenue]] * 0.18) + Table1[[#This Row],[Total Revenue]]</f>
        <v>318.60000000000002</v>
      </c>
      <c r="K238" s="6" t="str">
        <f>TRIM(Table1[[#This Row],[Product Name]])</f>
        <v>Nike Air Force 1 Sneakers</v>
      </c>
      <c r="L238" s="6" t="str">
        <f>UPPER(Table1[[#This Row],[Trimmed words]])</f>
        <v>NIKE AIR FORCE 1 SNEAKERS</v>
      </c>
      <c r="M238" s="26" t="str">
        <f>LOWER(Table1[[#This Row],[Upper function]])</f>
        <v>nike air force 1 sneakers</v>
      </c>
      <c r="N238" s="26" t="str">
        <f t="shared" si="19"/>
        <v>Clo</v>
      </c>
      <c r="O238" s="26" t="str">
        <f t="shared" si="20"/>
        <v>thing</v>
      </c>
      <c r="P238" s="27" t="str">
        <f t="shared" si="21"/>
        <v>lothing</v>
      </c>
      <c r="Q238" s="27" t="str">
        <f t="shared" si="22"/>
        <v>Clothing</v>
      </c>
      <c r="R238" s="27" t="str">
        <f t="shared" si="23"/>
        <v>positionothing</v>
      </c>
      <c r="S238" s="27" t="str">
        <f t="shared" si="24"/>
        <v>10237-Clothing-(North America)</v>
      </c>
      <c r="T238" s="27"/>
    </row>
    <row r="239" spans="1:20" x14ac:dyDescent="0.35">
      <c r="A239" s="4">
        <v>10238</v>
      </c>
      <c r="B239" s="5">
        <v>45529</v>
      </c>
      <c r="C239" s="6" t="s">
        <v>21</v>
      </c>
      <c r="D239" s="6" t="s">
        <v>250</v>
      </c>
      <c r="E239" s="6">
        <v>3</v>
      </c>
      <c r="F239" s="6">
        <v>10.99</v>
      </c>
      <c r="G239" s="6">
        <v>32.97</v>
      </c>
      <c r="H239" s="6" t="s">
        <v>11</v>
      </c>
      <c r="I239" s="7" t="s">
        <v>12</v>
      </c>
      <c r="J239" s="22">
        <f>(Table1[[#This Row],[Total Revenue]] * 0.18) + Table1[[#This Row],[Total Revenue]]</f>
        <v>38.904600000000002</v>
      </c>
      <c r="K239" s="6" t="str">
        <f>TRIM(Table1[[#This Row],[Product Name]])</f>
        <v>The Handmaid's Tale by Margaret Atwood</v>
      </c>
      <c r="L239" s="6" t="str">
        <f>UPPER(Table1[[#This Row],[Trimmed words]])</f>
        <v>THE HANDMAID'S TALE BY MARGARET ATWOOD</v>
      </c>
      <c r="M239" s="26" t="str">
        <f>LOWER(Table1[[#This Row],[Upper function]])</f>
        <v>the handmaid's tale by margaret atwood</v>
      </c>
      <c r="N239" s="26" t="str">
        <f t="shared" si="19"/>
        <v>Boo</v>
      </c>
      <c r="O239" s="26" t="str">
        <f t="shared" si="20"/>
        <v>ks</v>
      </c>
      <c r="P239" s="27" t="str">
        <f t="shared" si="21"/>
        <v>Books</v>
      </c>
      <c r="Q239" s="27" t="str">
        <f t="shared" si="22"/>
        <v>Books</v>
      </c>
      <c r="R239" s="27" t="str">
        <f t="shared" si="23"/>
        <v>positionoks</v>
      </c>
      <c r="S239" s="27" t="str">
        <f t="shared" si="24"/>
        <v>10238-Books-(Europe)</v>
      </c>
      <c r="T239" s="27"/>
    </row>
    <row r="240" spans="1:20" x14ac:dyDescent="0.35">
      <c r="A240" s="4">
        <v>10239</v>
      </c>
      <c r="B240" s="5">
        <v>45530</v>
      </c>
      <c r="C240" s="6" t="s">
        <v>23</v>
      </c>
      <c r="D240" s="6" t="s">
        <v>251</v>
      </c>
      <c r="E240" s="6">
        <v>1</v>
      </c>
      <c r="F240" s="6">
        <v>55</v>
      </c>
      <c r="G240" s="6">
        <v>55</v>
      </c>
      <c r="H240" s="6" t="s">
        <v>15</v>
      </c>
      <c r="I240" s="7" t="s">
        <v>16</v>
      </c>
      <c r="J240" s="22">
        <f>(Table1[[#This Row],[Total Revenue]] * 0.18) + Table1[[#This Row],[Total Revenue]]</f>
        <v>64.900000000000006</v>
      </c>
      <c r="K240" s="6" t="str">
        <f>TRIM(Table1[[#This Row],[Product Name]])</f>
        <v>Sunday Riley Luna Sleeping Night Oil</v>
      </c>
      <c r="L240" s="6" t="str">
        <f>UPPER(Table1[[#This Row],[Trimmed words]])</f>
        <v>SUNDAY RILEY LUNA SLEEPING NIGHT OIL</v>
      </c>
      <c r="M240" s="26" t="str">
        <f>LOWER(Table1[[#This Row],[Upper function]])</f>
        <v>sunday riley luna sleeping night oil</v>
      </c>
      <c r="N240" s="26" t="str">
        <f t="shared" si="19"/>
        <v>Bea</v>
      </c>
      <c r="O240" s="26" t="str">
        <f t="shared" si="20"/>
        <v>uty Prod</v>
      </c>
      <c r="P240" s="27" t="str">
        <f t="shared" si="21"/>
        <v>roducts</v>
      </c>
      <c r="Q240" s="27" t="str">
        <f t="shared" si="22"/>
        <v>Beworduty Products</v>
      </c>
      <c r="R240" s="27" t="str">
        <f t="shared" si="23"/>
        <v>positionauty Products</v>
      </c>
      <c r="S240" s="27" t="str">
        <f t="shared" si="24"/>
        <v>10239-Beauty Products-(Asia)</v>
      </c>
      <c r="T240" s="27"/>
    </row>
    <row r="241" spans="1:20" x14ac:dyDescent="0.35">
      <c r="A241" s="8">
        <v>10240</v>
      </c>
      <c r="B241" s="9">
        <v>45531</v>
      </c>
      <c r="C241" s="10" t="s">
        <v>25</v>
      </c>
      <c r="D241" s="10" t="s">
        <v>252</v>
      </c>
      <c r="E241" s="10">
        <v>2</v>
      </c>
      <c r="F241" s="10">
        <v>29.99</v>
      </c>
      <c r="G241" s="10">
        <v>59.98</v>
      </c>
      <c r="H241" s="10" t="s">
        <v>19</v>
      </c>
      <c r="I241" s="11" t="s">
        <v>12</v>
      </c>
      <c r="J241" s="23">
        <f>(Table1[[#This Row],[Total Revenue]] * 0.18) + Table1[[#This Row],[Total Revenue]]</f>
        <v>70.776399999999995</v>
      </c>
      <c r="K241" s="10" t="str">
        <f>TRIM(Table1[[#This Row],[Product Name]])</f>
        <v>Yeti Rambler 20 oz Tumbler</v>
      </c>
      <c r="L241" s="10" t="str">
        <f>UPPER(Table1[[#This Row],[Trimmed words]])</f>
        <v>YETI RAMBLER 20 OZ TUMBLER</v>
      </c>
      <c r="M241" s="26" t="str">
        <f>LOWER(Table1[[#This Row],[Upper function]])</f>
        <v>yeti rambler 20 oz tumbler</v>
      </c>
      <c r="N241" s="26" t="str">
        <f t="shared" si="19"/>
        <v>Spo</v>
      </c>
      <c r="O241" s="26" t="str">
        <f t="shared" si="20"/>
        <v>rts</v>
      </c>
      <c r="P241" s="27" t="str">
        <f t="shared" si="21"/>
        <v>Sports</v>
      </c>
      <c r="Q241" s="27" t="str">
        <f t="shared" si="22"/>
        <v>Sports</v>
      </c>
      <c r="R241" s="27" t="str">
        <f t="shared" si="23"/>
        <v>positionorts</v>
      </c>
      <c r="S241" s="27" t="str">
        <f t="shared" si="24"/>
        <v>10240-Sports-()</v>
      </c>
      <c r="T241" s="27"/>
    </row>
  </sheetData>
  <conditionalFormatting sqref="J1:J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{68EAA422-5754-489A-943C-9D0925C0F04B}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EAA422-5754-489A-943C-9D0925C0F0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1"/>
  <sheetViews>
    <sheetView topLeftCell="C1" workbookViewId="0">
      <selection activeCell="L10" sqref="L10"/>
    </sheetView>
  </sheetViews>
  <sheetFormatPr defaultRowHeight="14.5" x14ac:dyDescent="0.35"/>
  <cols>
    <col min="1" max="1" width="11.81640625" bestFit="1" customWidth="1"/>
    <col min="2" max="2" width="10.08984375" bestFit="1" customWidth="1"/>
    <col min="3" max="3" width="15.36328125" bestFit="1" customWidth="1"/>
    <col min="4" max="4" width="48.453125" bestFit="1" customWidth="1"/>
    <col min="5" max="5" width="8.54296875" bestFit="1" customWidth="1"/>
    <col min="6" max="6" width="8.26953125" bestFit="1" customWidth="1"/>
    <col min="7" max="7" width="11.7265625" bestFit="1" customWidth="1"/>
    <col min="8" max="8" width="13" bestFit="1" customWidth="1"/>
    <col min="9" max="9" width="14.1796875" bestFit="1" customWidth="1"/>
    <col min="10" max="10" width="12.90625" bestFit="1" customWidth="1"/>
  </cols>
  <sheetData>
    <row r="1" spans="1:10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20" t="s">
        <v>8</v>
      </c>
      <c r="J1" s="19" t="s">
        <v>253</v>
      </c>
    </row>
    <row r="2" spans="1:10" x14ac:dyDescent="0.35">
      <c r="A2" s="13">
        <v>10122</v>
      </c>
      <c r="B2" s="12">
        <v>45413</v>
      </c>
      <c r="C2" s="13" t="s">
        <v>13</v>
      </c>
      <c r="D2" s="13" t="s">
        <v>142</v>
      </c>
      <c r="E2" s="13">
        <v>1</v>
      </c>
      <c r="F2" s="13">
        <v>89.99</v>
      </c>
      <c r="G2" s="13">
        <v>89.99</v>
      </c>
      <c r="H2" s="13" t="s">
        <v>15</v>
      </c>
      <c r="I2" s="14" t="s">
        <v>16</v>
      </c>
      <c r="J2" s="13">
        <v>106.18819999999999</v>
      </c>
    </row>
    <row r="3" spans="1:10" x14ac:dyDescent="0.35">
      <c r="A3" s="16">
        <v>10123</v>
      </c>
      <c r="B3" s="15">
        <v>45414</v>
      </c>
      <c r="C3" s="16" t="s">
        <v>17</v>
      </c>
      <c r="D3" s="16" t="s">
        <v>143</v>
      </c>
      <c r="E3" s="16">
        <v>5</v>
      </c>
      <c r="F3" s="16">
        <v>12.99</v>
      </c>
      <c r="G3" s="16">
        <v>64.95</v>
      </c>
      <c r="H3" s="16" t="s">
        <v>19</v>
      </c>
      <c r="I3" s="17" t="s">
        <v>20</v>
      </c>
      <c r="J3" s="16">
        <v>76.641000000000005</v>
      </c>
    </row>
    <row r="4" spans="1:10" x14ac:dyDescent="0.35">
      <c r="A4" s="13">
        <v>10124</v>
      </c>
      <c r="B4" s="12">
        <v>45415</v>
      </c>
      <c r="C4" s="13" t="s">
        <v>21</v>
      </c>
      <c r="D4" s="13" t="s">
        <v>144</v>
      </c>
      <c r="E4" s="13">
        <v>3</v>
      </c>
      <c r="F4" s="13">
        <v>14.99</v>
      </c>
      <c r="G4" s="13">
        <v>44.97</v>
      </c>
      <c r="H4" s="13" t="s">
        <v>11</v>
      </c>
      <c r="I4" s="14" t="s">
        <v>12</v>
      </c>
      <c r="J4" s="13">
        <v>53.064599999999999</v>
      </c>
    </row>
    <row r="5" spans="1:10" x14ac:dyDescent="0.35">
      <c r="A5" s="16">
        <v>10125</v>
      </c>
      <c r="B5" s="15">
        <v>45416</v>
      </c>
      <c r="C5" s="16" t="s">
        <v>23</v>
      </c>
      <c r="D5" s="16" t="s">
        <v>145</v>
      </c>
      <c r="E5" s="16">
        <v>1</v>
      </c>
      <c r="F5" s="16">
        <v>30</v>
      </c>
      <c r="G5" s="16">
        <v>30</v>
      </c>
      <c r="H5" s="16" t="s">
        <v>15</v>
      </c>
      <c r="I5" s="17" t="s">
        <v>16</v>
      </c>
      <c r="J5" s="16">
        <v>35.4</v>
      </c>
    </row>
    <row r="6" spans="1:10" x14ac:dyDescent="0.35">
      <c r="A6" s="13">
        <v>10126</v>
      </c>
      <c r="B6" s="12">
        <v>45417</v>
      </c>
      <c r="C6" s="13" t="s">
        <v>25</v>
      </c>
      <c r="D6" s="13" t="s">
        <v>146</v>
      </c>
      <c r="E6" s="13">
        <v>1</v>
      </c>
      <c r="F6" s="13">
        <v>199.99</v>
      </c>
      <c r="G6" s="13">
        <v>199.99</v>
      </c>
      <c r="H6" s="13" t="s">
        <v>19</v>
      </c>
      <c r="I6" s="14" t="s">
        <v>12</v>
      </c>
      <c r="J6" s="13">
        <v>235.98820000000001</v>
      </c>
    </row>
    <row r="7" spans="1:10" x14ac:dyDescent="0.35">
      <c r="A7" s="16">
        <v>10127</v>
      </c>
      <c r="B7" s="15">
        <v>45418</v>
      </c>
      <c r="C7" s="16" t="s">
        <v>9</v>
      </c>
      <c r="D7" s="16" t="s">
        <v>147</v>
      </c>
      <c r="E7" s="16">
        <v>1</v>
      </c>
      <c r="F7" s="16">
        <v>499.99</v>
      </c>
      <c r="G7" s="16">
        <v>499.99</v>
      </c>
      <c r="H7" s="16" t="s">
        <v>11</v>
      </c>
      <c r="I7" s="17" t="s">
        <v>12</v>
      </c>
      <c r="J7" s="16">
        <v>589.98820000000001</v>
      </c>
    </row>
    <row r="8" spans="1:10" x14ac:dyDescent="0.35">
      <c r="A8" s="13">
        <v>10128</v>
      </c>
      <c r="B8" s="12">
        <v>45419</v>
      </c>
      <c r="C8" s="13" t="s">
        <v>13</v>
      </c>
      <c r="D8" s="13" t="s">
        <v>37</v>
      </c>
      <c r="E8" s="13">
        <v>2</v>
      </c>
      <c r="F8" s="13">
        <v>399.99</v>
      </c>
      <c r="G8" s="13">
        <v>799.98</v>
      </c>
      <c r="H8" s="13" t="s">
        <v>15</v>
      </c>
      <c r="I8" s="14" t="s">
        <v>16</v>
      </c>
      <c r="J8" s="13">
        <v>943.97640000000001</v>
      </c>
    </row>
    <row r="9" spans="1:10" x14ac:dyDescent="0.35">
      <c r="A9" s="16">
        <v>10129</v>
      </c>
      <c r="B9" s="15">
        <v>45420</v>
      </c>
      <c r="C9" s="16" t="s">
        <v>17</v>
      </c>
      <c r="D9" s="16" t="s">
        <v>148</v>
      </c>
      <c r="E9" s="16">
        <v>3</v>
      </c>
      <c r="F9" s="16">
        <v>98</v>
      </c>
      <c r="G9" s="16">
        <v>294</v>
      </c>
      <c r="H9" s="16" t="s">
        <v>19</v>
      </c>
      <c r="I9" s="17" t="s">
        <v>20</v>
      </c>
      <c r="J9" s="16">
        <v>346.92</v>
      </c>
    </row>
    <row r="10" spans="1:10" x14ac:dyDescent="0.35">
      <c r="A10" s="13">
        <v>10130</v>
      </c>
      <c r="B10" s="12">
        <v>45421</v>
      </c>
      <c r="C10" s="13" t="s">
        <v>21</v>
      </c>
      <c r="D10" s="13" t="s">
        <v>149</v>
      </c>
      <c r="E10" s="13">
        <v>2</v>
      </c>
      <c r="F10" s="13">
        <v>8.99</v>
      </c>
      <c r="G10" s="13">
        <v>17.98</v>
      </c>
      <c r="H10" s="13" t="s">
        <v>11</v>
      </c>
      <c r="I10" s="14" t="s">
        <v>12</v>
      </c>
      <c r="J10" s="13">
        <v>21.2164</v>
      </c>
    </row>
    <row r="11" spans="1:10" x14ac:dyDescent="0.35">
      <c r="A11" s="16">
        <v>10131</v>
      </c>
      <c r="B11" s="15">
        <v>45422</v>
      </c>
      <c r="C11" s="16" t="s">
        <v>23</v>
      </c>
      <c r="D11" s="16" t="s">
        <v>150</v>
      </c>
      <c r="E11" s="16">
        <v>1</v>
      </c>
      <c r="F11" s="16">
        <v>36</v>
      </c>
      <c r="G11" s="16">
        <v>36</v>
      </c>
      <c r="H11" s="16" t="s">
        <v>15</v>
      </c>
      <c r="I11" s="17" t="s">
        <v>16</v>
      </c>
      <c r="J11" s="16">
        <v>42.48</v>
      </c>
    </row>
    <row r="12" spans="1:10" x14ac:dyDescent="0.35">
      <c r="A12" s="13">
        <v>10132</v>
      </c>
      <c r="B12" s="12">
        <v>45423</v>
      </c>
      <c r="C12" s="13" t="s">
        <v>25</v>
      </c>
      <c r="D12" s="13" t="s">
        <v>151</v>
      </c>
      <c r="E12" s="13">
        <v>4</v>
      </c>
      <c r="F12" s="13">
        <v>39.950000000000003</v>
      </c>
      <c r="G12" s="13">
        <v>159.80000000000001</v>
      </c>
      <c r="H12" s="13" t="s">
        <v>19</v>
      </c>
      <c r="I12" s="14" t="s">
        <v>12</v>
      </c>
      <c r="J12" s="13">
        <v>188.56400000000002</v>
      </c>
    </row>
    <row r="13" spans="1:10" x14ac:dyDescent="0.35">
      <c r="A13" s="16">
        <v>10133</v>
      </c>
      <c r="B13" s="15">
        <v>45424</v>
      </c>
      <c r="C13" s="16" t="s">
        <v>9</v>
      </c>
      <c r="D13" s="16" t="s">
        <v>152</v>
      </c>
      <c r="E13" s="16">
        <v>1</v>
      </c>
      <c r="F13" s="16">
        <v>1299.99</v>
      </c>
      <c r="G13" s="16">
        <v>1299.99</v>
      </c>
      <c r="H13" s="16" t="s">
        <v>11</v>
      </c>
      <c r="I13" s="17" t="s">
        <v>12</v>
      </c>
      <c r="J13" s="16">
        <v>1533.9882</v>
      </c>
    </row>
    <row r="14" spans="1:10" x14ac:dyDescent="0.35">
      <c r="A14" s="13">
        <v>10134</v>
      </c>
      <c r="B14" s="12">
        <v>45425</v>
      </c>
      <c r="C14" s="13" t="s">
        <v>13</v>
      </c>
      <c r="D14" s="13" t="s">
        <v>153</v>
      </c>
      <c r="E14" s="13">
        <v>2</v>
      </c>
      <c r="F14" s="13">
        <v>79.989999999999995</v>
      </c>
      <c r="G14" s="13">
        <v>159.97999999999999</v>
      </c>
      <c r="H14" s="13" t="s">
        <v>15</v>
      </c>
      <c r="I14" s="14" t="s">
        <v>16</v>
      </c>
      <c r="J14" s="13">
        <v>188.7764</v>
      </c>
    </row>
    <row r="15" spans="1:10" x14ac:dyDescent="0.35">
      <c r="A15" s="16">
        <v>10135</v>
      </c>
      <c r="B15" s="15">
        <v>45426</v>
      </c>
      <c r="C15" s="16" t="s">
        <v>17</v>
      </c>
      <c r="D15" s="16" t="s">
        <v>154</v>
      </c>
      <c r="E15" s="16">
        <v>4</v>
      </c>
      <c r="F15" s="16">
        <v>34.99</v>
      </c>
      <c r="G15" s="16">
        <v>139.96</v>
      </c>
      <c r="H15" s="16" t="s">
        <v>19</v>
      </c>
      <c r="I15" s="17" t="s">
        <v>20</v>
      </c>
      <c r="J15" s="16">
        <v>165.15280000000001</v>
      </c>
    </row>
    <row r="16" spans="1:10" x14ac:dyDescent="0.35">
      <c r="A16" s="13">
        <v>10136</v>
      </c>
      <c r="B16" s="12">
        <v>45427</v>
      </c>
      <c r="C16" s="13" t="s">
        <v>21</v>
      </c>
      <c r="D16" s="13" t="s">
        <v>155</v>
      </c>
      <c r="E16" s="13">
        <v>3</v>
      </c>
      <c r="F16" s="13">
        <v>9.99</v>
      </c>
      <c r="G16" s="13">
        <v>29.97</v>
      </c>
      <c r="H16" s="13" t="s">
        <v>11</v>
      </c>
      <c r="I16" s="14" t="s">
        <v>12</v>
      </c>
      <c r="J16" s="13">
        <v>35.364599999999996</v>
      </c>
    </row>
    <row r="17" spans="1:10" x14ac:dyDescent="0.35">
      <c r="A17" s="16">
        <v>10137</v>
      </c>
      <c r="B17" s="15">
        <v>45428</v>
      </c>
      <c r="C17" s="16" t="s">
        <v>23</v>
      </c>
      <c r="D17" s="16" t="s">
        <v>156</v>
      </c>
      <c r="E17" s="16">
        <v>1</v>
      </c>
      <c r="F17" s="16">
        <v>6.8</v>
      </c>
      <c r="G17" s="16">
        <v>6.8</v>
      </c>
      <c r="H17" s="16" t="s">
        <v>15</v>
      </c>
      <c r="I17" s="17" t="s">
        <v>16</v>
      </c>
      <c r="J17" s="16">
        <v>8.0239999999999991</v>
      </c>
    </row>
    <row r="18" spans="1:10" x14ac:dyDescent="0.35">
      <c r="A18" s="13">
        <v>10138</v>
      </c>
      <c r="B18" s="12">
        <v>45429</v>
      </c>
      <c r="C18" s="13" t="s">
        <v>25</v>
      </c>
      <c r="D18" s="13" t="s">
        <v>157</v>
      </c>
      <c r="E18" s="13">
        <v>2</v>
      </c>
      <c r="F18" s="13">
        <v>99.95</v>
      </c>
      <c r="G18" s="13">
        <v>199.9</v>
      </c>
      <c r="H18" s="13" t="s">
        <v>19</v>
      </c>
      <c r="I18" s="14" t="s">
        <v>12</v>
      </c>
      <c r="J18" s="13">
        <v>235.88200000000001</v>
      </c>
    </row>
    <row r="19" spans="1:10" x14ac:dyDescent="0.35">
      <c r="A19" s="16">
        <v>10139</v>
      </c>
      <c r="B19" s="15">
        <v>45430</v>
      </c>
      <c r="C19" s="16" t="s">
        <v>9</v>
      </c>
      <c r="D19" s="16" t="s">
        <v>158</v>
      </c>
      <c r="E19" s="16">
        <v>1</v>
      </c>
      <c r="F19" s="16">
        <v>1499.99</v>
      </c>
      <c r="G19" s="16">
        <v>1499.99</v>
      </c>
      <c r="H19" s="16" t="s">
        <v>11</v>
      </c>
      <c r="I19" s="17" t="s">
        <v>12</v>
      </c>
      <c r="J19" s="16">
        <v>1769.9882</v>
      </c>
    </row>
    <row r="20" spans="1:10" x14ac:dyDescent="0.35">
      <c r="A20" s="13">
        <v>10140</v>
      </c>
      <c r="B20" s="12">
        <v>45431</v>
      </c>
      <c r="C20" s="13" t="s">
        <v>13</v>
      </c>
      <c r="D20" s="13" t="s">
        <v>159</v>
      </c>
      <c r="E20" s="13">
        <v>1</v>
      </c>
      <c r="F20" s="13">
        <v>139.99</v>
      </c>
      <c r="G20" s="13">
        <v>139.99</v>
      </c>
      <c r="H20" s="13" t="s">
        <v>15</v>
      </c>
      <c r="I20" s="14" t="s">
        <v>16</v>
      </c>
      <c r="J20" s="13">
        <v>165.18819999999999</v>
      </c>
    </row>
    <row r="21" spans="1:10" x14ac:dyDescent="0.35">
      <c r="A21" s="16">
        <v>10141</v>
      </c>
      <c r="B21" s="15">
        <v>45432</v>
      </c>
      <c r="C21" s="16" t="s">
        <v>17</v>
      </c>
      <c r="D21" s="16" t="s">
        <v>160</v>
      </c>
      <c r="E21" s="16">
        <v>3</v>
      </c>
      <c r="F21" s="16">
        <v>44.99</v>
      </c>
      <c r="G21" s="16">
        <v>134.97</v>
      </c>
      <c r="H21" s="16" t="s">
        <v>19</v>
      </c>
      <c r="I21" s="17" t="s">
        <v>20</v>
      </c>
      <c r="J21" s="16">
        <v>159.2646</v>
      </c>
    </row>
    <row r="22" spans="1:10" x14ac:dyDescent="0.35">
      <c r="A22" s="13">
        <v>10142</v>
      </c>
      <c r="B22" s="12">
        <v>45433</v>
      </c>
      <c r="C22" s="13" t="s">
        <v>21</v>
      </c>
      <c r="D22" s="13" t="s">
        <v>161</v>
      </c>
      <c r="E22" s="13">
        <v>2</v>
      </c>
      <c r="F22" s="13">
        <v>11.99</v>
      </c>
      <c r="G22" s="13">
        <v>23.98</v>
      </c>
      <c r="H22" s="13" t="s">
        <v>11</v>
      </c>
      <c r="I22" s="14" t="s">
        <v>12</v>
      </c>
      <c r="J22" s="13">
        <v>28.296399999999998</v>
      </c>
    </row>
    <row r="23" spans="1:10" x14ac:dyDescent="0.35">
      <c r="A23" s="16">
        <v>10143</v>
      </c>
      <c r="B23" s="15">
        <v>45434</v>
      </c>
      <c r="C23" s="16" t="s">
        <v>23</v>
      </c>
      <c r="D23" s="16" t="s">
        <v>162</v>
      </c>
      <c r="E23" s="16">
        <v>1</v>
      </c>
      <c r="F23" s="16">
        <v>29.5</v>
      </c>
      <c r="G23" s="16">
        <v>29.5</v>
      </c>
      <c r="H23" s="16" t="s">
        <v>15</v>
      </c>
      <c r="I23" s="17" t="s">
        <v>16</v>
      </c>
      <c r="J23" s="16">
        <v>34.81</v>
      </c>
    </row>
    <row r="24" spans="1:10" x14ac:dyDescent="0.35">
      <c r="A24" s="13">
        <v>10144</v>
      </c>
      <c r="B24" s="12">
        <v>45435</v>
      </c>
      <c r="C24" s="13" t="s">
        <v>25</v>
      </c>
      <c r="D24" s="13" t="s">
        <v>163</v>
      </c>
      <c r="E24" s="13">
        <v>1</v>
      </c>
      <c r="F24" s="13">
        <v>299.99</v>
      </c>
      <c r="G24" s="13">
        <v>299.99</v>
      </c>
      <c r="H24" s="13" t="s">
        <v>19</v>
      </c>
      <c r="I24" s="14" t="s">
        <v>12</v>
      </c>
      <c r="J24" s="13">
        <v>353.98820000000001</v>
      </c>
    </row>
    <row r="25" spans="1:10" x14ac:dyDescent="0.35">
      <c r="A25" s="16">
        <v>10145</v>
      </c>
      <c r="B25" s="15">
        <v>45436</v>
      </c>
      <c r="C25" s="16" t="s">
        <v>9</v>
      </c>
      <c r="D25" s="16" t="s">
        <v>164</v>
      </c>
      <c r="E25" s="16">
        <v>1</v>
      </c>
      <c r="F25" s="16">
        <v>549</v>
      </c>
      <c r="G25" s="16">
        <v>549</v>
      </c>
      <c r="H25" s="16" t="s">
        <v>11</v>
      </c>
      <c r="I25" s="17" t="s">
        <v>12</v>
      </c>
      <c r="J25" s="16">
        <v>647.81999999999994</v>
      </c>
    </row>
    <row r="26" spans="1:10" x14ac:dyDescent="0.35">
      <c r="A26" s="13">
        <v>10146</v>
      </c>
      <c r="B26" s="12">
        <v>45437</v>
      </c>
      <c r="C26" s="13" t="s">
        <v>13</v>
      </c>
      <c r="D26" s="13" t="s">
        <v>165</v>
      </c>
      <c r="E26" s="13">
        <v>2</v>
      </c>
      <c r="F26" s="13">
        <v>199.95</v>
      </c>
      <c r="G26" s="13">
        <v>399.9</v>
      </c>
      <c r="H26" s="13" t="s">
        <v>15</v>
      </c>
      <c r="I26" s="14" t="s">
        <v>16</v>
      </c>
      <c r="J26" s="13">
        <v>471.88199999999995</v>
      </c>
    </row>
    <row r="27" spans="1:10" x14ac:dyDescent="0.35">
      <c r="A27" s="16">
        <v>10147</v>
      </c>
      <c r="B27" s="15">
        <v>45438</v>
      </c>
      <c r="C27" s="16" t="s">
        <v>17</v>
      </c>
      <c r="D27" s="16" t="s">
        <v>166</v>
      </c>
      <c r="E27" s="16">
        <v>2</v>
      </c>
      <c r="F27" s="16">
        <v>98</v>
      </c>
      <c r="G27" s="16">
        <v>196</v>
      </c>
      <c r="H27" s="16" t="s">
        <v>19</v>
      </c>
      <c r="I27" s="17" t="s">
        <v>20</v>
      </c>
      <c r="J27" s="16">
        <v>231.28</v>
      </c>
    </row>
    <row r="28" spans="1:10" x14ac:dyDescent="0.35">
      <c r="A28" s="13">
        <v>10148</v>
      </c>
      <c r="B28" s="12">
        <v>45439</v>
      </c>
      <c r="C28" s="13" t="s">
        <v>21</v>
      </c>
      <c r="D28" s="13" t="s">
        <v>167</v>
      </c>
      <c r="E28" s="13">
        <v>3</v>
      </c>
      <c r="F28" s="13">
        <v>10.99</v>
      </c>
      <c r="G28" s="13">
        <v>32.97</v>
      </c>
      <c r="H28" s="13" t="s">
        <v>11</v>
      </c>
      <c r="I28" s="14" t="s">
        <v>12</v>
      </c>
      <c r="J28" s="13">
        <v>38.904600000000002</v>
      </c>
    </row>
    <row r="29" spans="1:10" x14ac:dyDescent="0.35">
      <c r="A29" s="16">
        <v>10149</v>
      </c>
      <c r="B29" s="15">
        <v>45440</v>
      </c>
      <c r="C29" s="16" t="s">
        <v>23</v>
      </c>
      <c r="D29" s="16" t="s">
        <v>168</v>
      </c>
      <c r="E29" s="16">
        <v>1</v>
      </c>
      <c r="F29" s="16">
        <v>25</v>
      </c>
      <c r="G29" s="16">
        <v>25</v>
      </c>
      <c r="H29" s="16" t="s">
        <v>15</v>
      </c>
      <c r="I29" s="17" t="s">
        <v>16</v>
      </c>
      <c r="J29" s="16">
        <v>29.5</v>
      </c>
    </row>
    <row r="30" spans="1:10" x14ac:dyDescent="0.35">
      <c r="A30" s="13">
        <v>10150</v>
      </c>
      <c r="B30" s="12">
        <v>45441</v>
      </c>
      <c r="C30" s="13" t="s">
        <v>25</v>
      </c>
      <c r="D30" s="13" t="s">
        <v>169</v>
      </c>
      <c r="E30" s="13">
        <v>2</v>
      </c>
      <c r="F30" s="13">
        <v>149.99</v>
      </c>
      <c r="G30" s="13">
        <v>299.98</v>
      </c>
      <c r="H30" s="13" t="s">
        <v>19</v>
      </c>
      <c r="I30" s="14" t="s">
        <v>12</v>
      </c>
      <c r="J30" s="13">
        <v>353.97640000000001</v>
      </c>
    </row>
    <row r="31" spans="1:10" x14ac:dyDescent="0.35">
      <c r="A31" s="16">
        <v>10151</v>
      </c>
      <c r="B31" s="15">
        <v>45442</v>
      </c>
      <c r="C31" s="16" t="s">
        <v>9</v>
      </c>
      <c r="D31" s="16" t="s">
        <v>51</v>
      </c>
      <c r="E31" s="16">
        <v>1</v>
      </c>
      <c r="F31" s="16">
        <v>349.99</v>
      </c>
      <c r="G31" s="16">
        <v>349.99</v>
      </c>
      <c r="H31" s="16" t="s">
        <v>11</v>
      </c>
      <c r="I31" s="17" t="s">
        <v>12</v>
      </c>
      <c r="J31" s="16">
        <v>412.98820000000001</v>
      </c>
    </row>
    <row r="32" spans="1:10" x14ac:dyDescent="0.35">
      <c r="A32" s="13">
        <v>10152</v>
      </c>
      <c r="B32" s="12">
        <v>45443</v>
      </c>
      <c r="C32" s="13" t="s">
        <v>13</v>
      </c>
      <c r="D32" s="13" t="s">
        <v>170</v>
      </c>
      <c r="E32" s="13">
        <v>2</v>
      </c>
      <c r="F32" s="13">
        <v>199.99</v>
      </c>
      <c r="G32" s="13">
        <v>399.98</v>
      </c>
      <c r="H32" s="13" t="s">
        <v>15</v>
      </c>
      <c r="I32" s="14" t="s">
        <v>16</v>
      </c>
      <c r="J32" s="13">
        <v>471.97640000000001</v>
      </c>
    </row>
    <row r="33" spans="1:10" x14ac:dyDescent="0.35">
      <c r="A33" s="16">
        <v>10153</v>
      </c>
      <c r="B33" s="15">
        <v>45444</v>
      </c>
      <c r="C33" s="16" t="s">
        <v>17</v>
      </c>
      <c r="D33" s="16" t="s">
        <v>171</v>
      </c>
      <c r="E33" s="16">
        <v>3</v>
      </c>
      <c r="F33" s="16">
        <v>54.99</v>
      </c>
      <c r="G33" s="16">
        <v>164.97</v>
      </c>
      <c r="H33" s="16" t="s">
        <v>19</v>
      </c>
      <c r="I33" s="17" t="s">
        <v>20</v>
      </c>
      <c r="J33" s="16">
        <v>194.66460000000001</v>
      </c>
    </row>
    <row r="34" spans="1:10" x14ac:dyDescent="0.35">
      <c r="A34" s="13">
        <v>10154</v>
      </c>
      <c r="B34" s="12">
        <v>45445</v>
      </c>
      <c r="C34" s="13" t="s">
        <v>21</v>
      </c>
      <c r="D34" s="13" t="s">
        <v>172</v>
      </c>
      <c r="E34" s="13">
        <v>2</v>
      </c>
      <c r="F34" s="13">
        <v>16.989999999999998</v>
      </c>
      <c r="G34" s="13">
        <v>33.979999999999997</v>
      </c>
      <c r="H34" s="13" t="s">
        <v>11</v>
      </c>
      <c r="I34" s="14" t="s">
        <v>12</v>
      </c>
      <c r="J34" s="13">
        <v>40.096399999999996</v>
      </c>
    </row>
    <row r="35" spans="1:10" x14ac:dyDescent="0.35">
      <c r="A35" s="16">
        <v>10155</v>
      </c>
      <c r="B35" s="15">
        <v>45446</v>
      </c>
      <c r="C35" s="16" t="s">
        <v>23</v>
      </c>
      <c r="D35" s="16" t="s">
        <v>173</v>
      </c>
      <c r="E35" s="16">
        <v>1</v>
      </c>
      <c r="F35" s="16">
        <v>59</v>
      </c>
      <c r="G35" s="16">
        <v>59</v>
      </c>
      <c r="H35" s="16" t="s">
        <v>15</v>
      </c>
      <c r="I35" s="17" t="s">
        <v>16</v>
      </c>
      <c r="J35" s="16">
        <v>69.62</v>
      </c>
    </row>
    <row r="36" spans="1:10" x14ac:dyDescent="0.35">
      <c r="A36" s="13">
        <v>10156</v>
      </c>
      <c r="B36" s="12">
        <v>45447</v>
      </c>
      <c r="C36" s="13" t="s">
        <v>25</v>
      </c>
      <c r="D36" s="13" t="s">
        <v>174</v>
      </c>
      <c r="E36" s="13">
        <v>1</v>
      </c>
      <c r="F36" s="13">
        <v>299.99</v>
      </c>
      <c r="G36" s="13">
        <v>299.99</v>
      </c>
      <c r="H36" s="13" t="s">
        <v>19</v>
      </c>
      <c r="I36" s="14" t="s">
        <v>12</v>
      </c>
      <c r="J36" s="13">
        <v>353.98820000000001</v>
      </c>
    </row>
    <row r="37" spans="1:10" x14ac:dyDescent="0.35">
      <c r="A37" s="16">
        <v>10157</v>
      </c>
      <c r="B37" s="15">
        <v>45448</v>
      </c>
      <c r="C37" s="16" t="s">
        <v>9</v>
      </c>
      <c r="D37" s="16" t="s">
        <v>175</v>
      </c>
      <c r="E37" s="16">
        <v>1</v>
      </c>
      <c r="F37" s="16">
        <v>899.99</v>
      </c>
      <c r="G37" s="16">
        <v>899.99</v>
      </c>
      <c r="H37" s="16" t="s">
        <v>11</v>
      </c>
      <c r="I37" s="17" t="s">
        <v>12</v>
      </c>
      <c r="J37" s="16">
        <v>1061.9882</v>
      </c>
    </row>
    <row r="38" spans="1:10" x14ac:dyDescent="0.35">
      <c r="A38" s="13">
        <v>10158</v>
      </c>
      <c r="B38" s="12">
        <v>45449</v>
      </c>
      <c r="C38" s="13" t="s">
        <v>13</v>
      </c>
      <c r="D38" s="13" t="s">
        <v>176</v>
      </c>
      <c r="E38" s="13">
        <v>1</v>
      </c>
      <c r="F38" s="13">
        <v>499.95</v>
      </c>
      <c r="G38" s="13">
        <v>499.95</v>
      </c>
      <c r="H38" s="13" t="s">
        <v>15</v>
      </c>
      <c r="I38" s="14" t="s">
        <v>16</v>
      </c>
      <c r="J38" s="13">
        <v>589.94100000000003</v>
      </c>
    </row>
    <row r="39" spans="1:10" x14ac:dyDescent="0.35">
      <c r="A39" s="16">
        <v>10159</v>
      </c>
      <c r="B39" s="15">
        <v>45450</v>
      </c>
      <c r="C39" s="16" t="s">
        <v>17</v>
      </c>
      <c r="D39" s="16" t="s">
        <v>177</v>
      </c>
      <c r="E39" s="16">
        <v>4</v>
      </c>
      <c r="F39" s="16">
        <v>24.99</v>
      </c>
      <c r="G39" s="16">
        <v>99.96</v>
      </c>
      <c r="H39" s="16" t="s">
        <v>19</v>
      </c>
      <c r="I39" s="17" t="s">
        <v>20</v>
      </c>
      <c r="J39" s="16">
        <v>117.9528</v>
      </c>
    </row>
    <row r="40" spans="1:10" x14ac:dyDescent="0.35">
      <c r="A40" s="13">
        <v>10160</v>
      </c>
      <c r="B40" s="12">
        <v>45451</v>
      </c>
      <c r="C40" s="13" t="s">
        <v>21</v>
      </c>
      <c r="D40" s="13" t="s">
        <v>178</v>
      </c>
      <c r="E40" s="13">
        <v>3</v>
      </c>
      <c r="F40" s="13">
        <v>7.99</v>
      </c>
      <c r="G40" s="13">
        <v>23.97</v>
      </c>
      <c r="H40" s="13" t="s">
        <v>11</v>
      </c>
      <c r="I40" s="14" t="s">
        <v>12</v>
      </c>
      <c r="J40" s="13">
        <v>28.284599999999998</v>
      </c>
    </row>
    <row r="41" spans="1:10" x14ac:dyDescent="0.35">
      <c r="A41" s="16">
        <v>10161</v>
      </c>
      <c r="B41" s="15">
        <v>45452</v>
      </c>
      <c r="C41" s="16" t="s">
        <v>23</v>
      </c>
      <c r="D41" s="16" t="s">
        <v>179</v>
      </c>
      <c r="E41" s="16">
        <v>1</v>
      </c>
      <c r="F41" s="16">
        <v>36</v>
      </c>
      <c r="G41" s="16">
        <v>36</v>
      </c>
      <c r="H41" s="16" t="s">
        <v>15</v>
      </c>
      <c r="I41" s="17" t="s">
        <v>16</v>
      </c>
      <c r="J41" s="16">
        <v>42.48</v>
      </c>
    </row>
    <row r="42" spans="1:10" x14ac:dyDescent="0.35">
      <c r="A42" s="13">
        <v>10162</v>
      </c>
      <c r="B42" s="12">
        <v>45453</v>
      </c>
      <c r="C42" s="13" t="s">
        <v>25</v>
      </c>
      <c r="D42" s="13" t="s">
        <v>180</v>
      </c>
      <c r="E42" s="13">
        <v>2</v>
      </c>
      <c r="F42" s="13">
        <v>34.99</v>
      </c>
      <c r="G42" s="13">
        <v>69.98</v>
      </c>
      <c r="H42" s="13" t="s">
        <v>19</v>
      </c>
      <c r="I42" s="14" t="s">
        <v>12</v>
      </c>
      <c r="J42" s="13">
        <v>82.576400000000007</v>
      </c>
    </row>
    <row r="43" spans="1:10" x14ac:dyDescent="0.35">
      <c r="A43" s="16">
        <v>10163</v>
      </c>
      <c r="B43" s="15">
        <v>45454</v>
      </c>
      <c r="C43" s="16" t="s">
        <v>9</v>
      </c>
      <c r="D43" s="16" t="s">
        <v>181</v>
      </c>
      <c r="E43" s="16">
        <v>1</v>
      </c>
      <c r="F43" s="16">
        <v>1199.99</v>
      </c>
      <c r="G43" s="16">
        <v>1199.99</v>
      </c>
      <c r="H43" s="16" t="s">
        <v>11</v>
      </c>
      <c r="I43" s="17" t="s">
        <v>12</v>
      </c>
      <c r="J43" s="16">
        <v>1415.9882</v>
      </c>
    </row>
    <row r="44" spans="1:10" x14ac:dyDescent="0.35">
      <c r="A44" s="13">
        <v>10164</v>
      </c>
      <c r="B44" s="12">
        <v>45455</v>
      </c>
      <c r="C44" s="13" t="s">
        <v>13</v>
      </c>
      <c r="D44" s="13" t="s">
        <v>182</v>
      </c>
      <c r="E44" s="13">
        <v>1</v>
      </c>
      <c r="F44" s="13">
        <v>199.99</v>
      </c>
      <c r="G44" s="13">
        <v>199.99</v>
      </c>
      <c r="H44" s="13" t="s">
        <v>15</v>
      </c>
      <c r="I44" s="14" t="s">
        <v>16</v>
      </c>
      <c r="J44" s="13">
        <v>235.98820000000001</v>
      </c>
    </row>
    <row r="45" spans="1:10" x14ac:dyDescent="0.35">
      <c r="A45" s="16">
        <v>10165</v>
      </c>
      <c r="B45" s="15">
        <v>45456</v>
      </c>
      <c r="C45" s="16" t="s">
        <v>17</v>
      </c>
      <c r="D45" s="16" t="s">
        <v>183</v>
      </c>
      <c r="E45" s="16">
        <v>5</v>
      </c>
      <c r="F45" s="16">
        <v>29.99</v>
      </c>
      <c r="G45" s="16">
        <v>149.94999999999999</v>
      </c>
      <c r="H45" s="16" t="s">
        <v>19</v>
      </c>
      <c r="I45" s="17" t="s">
        <v>20</v>
      </c>
      <c r="J45" s="16">
        <v>176.94099999999997</v>
      </c>
    </row>
    <row r="46" spans="1:10" x14ac:dyDescent="0.35">
      <c r="A46" s="13">
        <v>10166</v>
      </c>
      <c r="B46" s="12">
        <v>45457</v>
      </c>
      <c r="C46" s="13" t="s">
        <v>21</v>
      </c>
      <c r="D46" s="13" t="s">
        <v>184</v>
      </c>
      <c r="E46" s="13">
        <v>4</v>
      </c>
      <c r="F46" s="13">
        <v>8.99</v>
      </c>
      <c r="G46" s="13">
        <v>35.96</v>
      </c>
      <c r="H46" s="13" t="s">
        <v>11</v>
      </c>
      <c r="I46" s="14" t="s">
        <v>12</v>
      </c>
      <c r="J46" s="13">
        <v>42.4328</v>
      </c>
    </row>
    <row r="47" spans="1:10" x14ac:dyDescent="0.35">
      <c r="A47" s="16">
        <v>10167</v>
      </c>
      <c r="B47" s="15">
        <v>45458</v>
      </c>
      <c r="C47" s="16" t="s">
        <v>23</v>
      </c>
      <c r="D47" s="16" t="s">
        <v>185</v>
      </c>
      <c r="E47" s="16">
        <v>1</v>
      </c>
      <c r="F47" s="16">
        <v>16.989999999999998</v>
      </c>
      <c r="G47" s="16">
        <v>16.989999999999998</v>
      </c>
      <c r="H47" s="16" t="s">
        <v>15</v>
      </c>
      <c r="I47" s="17" t="s">
        <v>16</v>
      </c>
      <c r="J47" s="16">
        <v>20.048199999999998</v>
      </c>
    </row>
    <row r="48" spans="1:10" x14ac:dyDescent="0.35">
      <c r="A48" s="13">
        <v>10168</v>
      </c>
      <c r="B48" s="12">
        <v>45459</v>
      </c>
      <c r="C48" s="13" t="s">
        <v>25</v>
      </c>
      <c r="D48" s="13" t="s">
        <v>186</v>
      </c>
      <c r="E48" s="13">
        <v>3</v>
      </c>
      <c r="F48" s="13">
        <v>49.99</v>
      </c>
      <c r="G48" s="13">
        <v>149.97</v>
      </c>
      <c r="H48" s="13" t="s">
        <v>19</v>
      </c>
      <c r="I48" s="14" t="s">
        <v>12</v>
      </c>
      <c r="J48" s="13">
        <v>176.96459999999999</v>
      </c>
    </row>
    <row r="49" spans="1:10" x14ac:dyDescent="0.35">
      <c r="A49" s="16">
        <v>10169</v>
      </c>
      <c r="B49" s="15">
        <v>45460</v>
      </c>
      <c r="C49" s="16" t="s">
        <v>9</v>
      </c>
      <c r="D49" s="16" t="s">
        <v>187</v>
      </c>
      <c r="E49" s="16">
        <v>1</v>
      </c>
      <c r="F49" s="16">
        <v>699.99</v>
      </c>
      <c r="G49" s="16">
        <v>699.99</v>
      </c>
      <c r="H49" s="16" t="s">
        <v>11</v>
      </c>
      <c r="I49" s="17" t="s">
        <v>12</v>
      </c>
      <c r="J49" s="16">
        <v>825.98820000000001</v>
      </c>
    </row>
    <row r="50" spans="1:10" x14ac:dyDescent="0.35">
      <c r="A50" s="13">
        <v>10170</v>
      </c>
      <c r="B50" s="12">
        <v>45461</v>
      </c>
      <c r="C50" s="13" t="s">
        <v>13</v>
      </c>
      <c r="D50" s="13" t="s">
        <v>188</v>
      </c>
      <c r="E50" s="13">
        <v>2</v>
      </c>
      <c r="F50" s="13">
        <v>139.99</v>
      </c>
      <c r="G50" s="13">
        <v>279.98</v>
      </c>
      <c r="H50" s="13" t="s">
        <v>15</v>
      </c>
      <c r="I50" s="14" t="s">
        <v>16</v>
      </c>
      <c r="J50" s="13">
        <v>330.37639999999999</v>
      </c>
    </row>
    <row r="51" spans="1:10" x14ac:dyDescent="0.35">
      <c r="A51" s="16">
        <v>10171</v>
      </c>
      <c r="B51" s="15">
        <v>45462</v>
      </c>
      <c r="C51" s="16" t="s">
        <v>17</v>
      </c>
      <c r="D51" s="16" t="s">
        <v>189</v>
      </c>
      <c r="E51" s="16">
        <v>3</v>
      </c>
      <c r="F51" s="16">
        <v>34.99</v>
      </c>
      <c r="G51" s="16">
        <v>104.97</v>
      </c>
      <c r="H51" s="16" t="s">
        <v>19</v>
      </c>
      <c r="I51" s="17" t="s">
        <v>20</v>
      </c>
      <c r="J51" s="16">
        <v>123.8646</v>
      </c>
    </row>
    <row r="52" spans="1:10" x14ac:dyDescent="0.35">
      <c r="A52" s="13">
        <v>10172</v>
      </c>
      <c r="B52" s="12">
        <v>45463</v>
      </c>
      <c r="C52" s="13" t="s">
        <v>21</v>
      </c>
      <c r="D52" s="13" t="s">
        <v>190</v>
      </c>
      <c r="E52" s="13">
        <v>2</v>
      </c>
      <c r="F52" s="13">
        <v>9.99</v>
      </c>
      <c r="G52" s="13">
        <v>19.98</v>
      </c>
      <c r="H52" s="13" t="s">
        <v>11</v>
      </c>
      <c r="I52" s="14" t="s">
        <v>12</v>
      </c>
      <c r="J52" s="13">
        <v>23.5764</v>
      </c>
    </row>
    <row r="53" spans="1:10" x14ac:dyDescent="0.35">
      <c r="A53" s="16">
        <v>10173</v>
      </c>
      <c r="B53" s="15">
        <v>45464</v>
      </c>
      <c r="C53" s="16" t="s">
        <v>23</v>
      </c>
      <c r="D53" s="16" t="s">
        <v>191</v>
      </c>
      <c r="E53" s="16">
        <v>1</v>
      </c>
      <c r="F53" s="16">
        <v>29.5</v>
      </c>
      <c r="G53" s="16">
        <v>29.5</v>
      </c>
      <c r="H53" s="16" t="s">
        <v>15</v>
      </c>
      <c r="I53" s="17" t="s">
        <v>16</v>
      </c>
      <c r="J53" s="16">
        <v>34.81</v>
      </c>
    </row>
    <row r="54" spans="1:10" x14ac:dyDescent="0.35">
      <c r="A54" s="13">
        <v>10174</v>
      </c>
      <c r="B54" s="12">
        <v>45465</v>
      </c>
      <c r="C54" s="13" t="s">
        <v>25</v>
      </c>
      <c r="D54" s="13" t="s">
        <v>192</v>
      </c>
      <c r="E54" s="13">
        <v>1</v>
      </c>
      <c r="F54" s="13">
        <v>699.99</v>
      </c>
      <c r="G54" s="13">
        <v>699.99</v>
      </c>
      <c r="H54" s="13" t="s">
        <v>19</v>
      </c>
      <c r="I54" s="14" t="s">
        <v>12</v>
      </c>
      <c r="J54" s="13">
        <v>825.98820000000001</v>
      </c>
    </row>
    <row r="55" spans="1:10" x14ac:dyDescent="0.35">
      <c r="A55" s="16">
        <v>10175</v>
      </c>
      <c r="B55" s="15">
        <v>45466</v>
      </c>
      <c r="C55" s="16" t="s">
        <v>9</v>
      </c>
      <c r="D55" s="16" t="s">
        <v>193</v>
      </c>
      <c r="E55" s="16">
        <v>3</v>
      </c>
      <c r="F55" s="16">
        <v>49.99</v>
      </c>
      <c r="G55" s="16">
        <v>149.97</v>
      </c>
      <c r="H55" s="16" t="s">
        <v>11</v>
      </c>
      <c r="I55" s="17" t="s">
        <v>12</v>
      </c>
      <c r="J55" s="16">
        <v>176.96459999999999</v>
      </c>
    </row>
    <row r="56" spans="1:10" x14ac:dyDescent="0.35">
      <c r="A56" s="13">
        <v>10176</v>
      </c>
      <c r="B56" s="12">
        <v>45467</v>
      </c>
      <c r="C56" s="13" t="s">
        <v>13</v>
      </c>
      <c r="D56" s="13" t="s">
        <v>194</v>
      </c>
      <c r="E56" s="13">
        <v>2</v>
      </c>
      <c r="F56" s="13">
        <v>49.99</v>
      </c>
      <c r="G56" s="13">
        <v>99.98</v>
      </c>
      <c r="H56" s="13" t="s">
        <v>15</v>
      </c>
      <c r="I56" s="14" t="s">
        <v>16</v>
      </c>
      <c r="J56" s="13">
        <v>117.97640000000001</v>
      </c>
    </row>
    <row r="57" spans="1:10" x14ac:dyDescent="0.35">
      <c r="A57" s="16">
        <v>10177</v>
      </c>
      <c r="B57" s="15">
        <v>45468</v>
      </c>
      <c r="C57" s="16" t="s">
        <v>17</v>
      </c>
      <c r="D57" s="16" t="s">
        <v>195</v>
      </c>
      <c r="E57" s="16">
        <v>4</v>
      </c>
      <c r="F57" s="16">
        <v>14.9</v>
      </c>
      <c r="G57" s="16">
        <v>59.6</v>
      </c>
      <c r="H57" s="16" t="s">
        <v>19</v>
      </c>
      <c r="I57" s="17" t="s">
        <v>20</v>
      </c>
      <c r="J57" s="16">
        <v>70.328000000000003</v>
      </c>
    </row>
    <row r="58" spans="1:10" x14ac:dyDescent="0.35">
      <c r="A58" s="13">
        <v>10178</v>
      </c>
      <c r="B58" s="12">
        <v>45469</v>
      </c>
      <c r="C58" s="13" t="s">
        <v>21</v>
      </c>
      <c r="D58" s="13" t="s">
        <v>196</v>
      </c>
      <c r="E58" s="13">
        <v>3</v>
      </c>
      <c r="F58" s="13">
        <v>11.99</v>
      </c>
      <c r="G58" s="13">
        <v>35.97</v>
      </c>
      <c r="H58" s="13" t="s">
        <v>11</v>
      </c>
      <c r="I58" s="14" t="s">
        <v>12</v>
      </c>
      <c r="J58" s="13">
        <v>42.444600000000001</v>
      </c>
    </row>
    <row r="59" spans="1:10" x14ac:dyDescent="0.35">
      <c r="A59" s="16">
        <v>10179</v>
      </c>
      <c r="B59" s="15">
        <v>45470</v>
      </c>
      <c r="C59" s="16" t="s">
        <v>23</v>
      </c>
      <c r="D59" s="16" t="s">
        <v>197</v>
      </c>
      <c r="E59" s="16">
        <v>2</v>
      </c>
      <c r="F59" s="16">
        <v>34</v>
      </c>
      <c r="G59" s="16">
        <v>68</v>
      </c>
      <c r="H59" s="16" t="s">
        <v>15</v>
      </c>
      <c r="I59" s="17" t="s">
        <v>16</v>
      </c>
      <c r="J59" s="16">
        <v>80.239999999999995</v>
      </c>
    </row>
    <row r="60" spans="1:10" x14ac:dyDescent="0.35">
      <c r="A60" s="13">
        <v>10180</v>
      </c>
      <c r="B60" s="12">
        <v>45471</v>
      </c>
      <c r="C60" s="13" t="s">
        <v>25</v>
      </c>
      <c r="D60" s="13" t="s">
        <v>198</v>
      </c>
      <c r="E60" s="13">
        <v>1</v>
      </c>
      <c r="F60" s="13">
        <v>146</v>
      </c>
      <c r="G60" s="13">
        <v>146</v>
      </c>
      <c r="H60" s="13" t="s">
        <v>19</v>
      </c>
      <c r="I60" s="14" t="s">
        <v>12</v>
      </c>
      <c r="J60" s="13">
        <v>172.28</v>
      </c>
    </row>
    <row r="61" spans="1:10" x14ac:dyDescent="0.35">
      <c r="A61" s="16">
        <v>10181</v>
      </c>
      <c r="B61" s="15">
        <v>45472</v>
      </c>
      <c r="C61" s="16" t="s">
        <v>9</v>
      </c>
      <c r="D61" s="16" t="s">
        <v>199</v>
      </c>
      <c r="E61" s="16">
        <v>1</v>
      </c>
      <c r="F61" s="16">
        <v>649.99</v>
      </c>
      <c r="G61" s="16">
        <v>649.99</v>
      </c>
      <c r="H61" s="16" t="s">
        <v>11</v>
      </c>
      <c r="I61" s="17" t="s">
        <v>12</v>
      </c>
      <c r="J61" s="16">
        <v>766.98820000000001</v>
      </c>
    </row>
    <row r="62" spans="1:10" x14ac:dyDescent="0.35">
      <c r="A62" s="13">
        <v>10182</v>
      </c>
      <c r="B62" s="12">
        <v>45473</v>
      </c>
      <c r="C62" s="13" t="s">
        <v>13</v>
      </c>
      <c r="D62" s="13" t="s">
        <v>200</v>
      </c>
      <c r="E62" s="13">
        <v>1</v>
      </c>
      <c r="F62" s="13">
        <v>399.99</v>
      </c>
      <c r="G62" s="13">
        <v>399.99</v>
      </c>
      <c r="H62" s="13" t="s">
        <v>15</v>
      </c>
      <c r="I62" s="14" t="s">
        <v>16</v>
      </c>
      <c r="J62" s="13">
        <v>471.98820000000001</v>
      </c>
    </row>
    <row r="63" spans="1:10" x14ac:dyDescent="0.35">
      <c r="A63" s="16">
        <v>10183</v>
      </c>
      <c r="B63" s="15">
        <v>45474</v>
      </c>
      <c r="C63" s="16" t="s">
        <v>17</v>
      </c>
      <c r="D63" s="16" t="s">
        <v>201</v>
      </c>
      <c r="E63" s="16">
        <v>3</v>
      </c>
      <c r="F63" s="16">
        <v>59.99</v>
      </c>
      <c r="G63" s="16">
        <v>179.97</v>
      </c>
      <c r="H63" s="16" t="s">
        <v>19</v>
      </c>
      <c r="I63" s="17" t="s">
        <v>20</v>
      </c>
      <c r="J63" s="16">
        <v>212.3646</v>
      </c>
    </row>
    <row r="64" spans="1:10" x14ac:dyDescent="0.35">
      <c r="A64" s="13">
        <v>10184</v>
      </c>
      <c r="B64" s="12">
        <v>45475</v>
      </c>
      <c r="C64" s="13" t="s">
        <v>21</v>
      </c>
      <c r="D64" s="13" t="s">
        <v>202</v>
      </c>
      <c r="E64" s="13">
        <v>2</v>
      </c>
      <c r="F64" s="13">
        <v>12.99</v>
      </c>
      <c r="G64" s="13">
        <v>25.98</v>
      </c>
      <c r="H64" s="13" t="s">
        <v>11</v>
      </c>
      <c r="I64" s="14" t="s">
        <v>12</v>
      </c>
      <c r="J64" s="13">
        <v>30.656400000000001</v>
      </c>
    </row>
    <row r="65" spans="1:10" x14ac:dyDescent="0.35">
      <c r="A65" s="16">
        <v>10185</v>
      </c>
      <c r="B65" s="15">
        <v>45476</v>
      </c>
      <c r="C65" s="16" t="s">
        <v>23</v>
      </c>
      <c r="D65" s="16" t="s">
        <v>203</v>
      </c>
      <c r="E65" s="16">
        <v>1</v>
      </c>
      <c r="F65" s="16">
        <v>190</v>
      </c>
      <c r="G65" s="16">
        <v>190</v>
      </c>
      <c r="H65" s="16" t="s">
        <v>15</v>
      </c>
      <c r="I65" s="17" t="s">
        <v>16</v>
      </c>
      <c r="J65" s="16">
        <v>224.2</v>
      </c>
    </row>
    <row r="66" spans="1:10" x14ac:dyDescent="0.35">
      <c r="A66" s="13">
        <v>10186</v>
      </c>
      <c r="B66" s="12">
        <v>45477</v>
      </c>
      <c r="C66" s="13" t="s">
        <v>25</v>
      </c>
      <c r="D66" s="13" t="s">
        <v>204</v>
      </c>
      <c r="E66" s="13">
        <v>1</v>
      </c>
      <c r="F66" s="13">
        <v>499.95</v>
      </c>
      <c r="G66" s="13">
        <v>499.95</v>
      </c>
      <c r="H66" s="13" t="s">
        <v>19</v>
      </c>
      <c r="I66" s="14" t="s">
        <v>12</v>
      </c>
      <c r="J66" s="13">
        <v>589.94100000000003</v>
      </c>
    </row>
    <row r="67" spans="1:10" x14ac:dyDescent="0.35">
      <c r="A67" s="16">
        <v>10187</v>
      </c>
      <c r="B67" s="15">
        <v>45478</v>
      </c>
      <c r="C67" s="16" t="s">
        <v>9</v>
      </c>
      <c r="D67" s="16" t="s">
        <v>205</v>
      </c>
      <c r="E67" s="16">
        <v>1</v>
      </c>
      <c r="F67" s="16">
        <v>399</v>
      </c>
      <c r="G67" s="16">
        <v>399</v>
      </c>
      <c r="H67" s="16" t="s">
        <v>11</v>
      </c>
      <c r="I67" s="17" t="s">
        <v>12</v>
      </c>
      <c r="J67" s="16">
        <v>470.82</v>
      </c>
    </row>
    <row r="68" spans="1:10" x14ac:dyDescent="0.35">
      <c r="A68" s="13">
        <v>10188</v>
      </c>
      <c r="B68" s="12">
        <v>45479</v>
      </c>
      <c r="C68" s="13" t="s">
        <v>13</v>
      </c>
      <c r="D68" s="13" t="s">
        <v>206</v>
      </c>
      <c r="E68" s="13">
        <v>2</v>
      </c>
      <c r="F68" s="13">
        <v>199</v>
      </c>
      <c r="G68" s="13">
        <v>398</v>
      </c>
      <c r="H68" s="13" t="s">
        <v>15</v>
      </c>
      <c r="I68" s="14" t="s">
        <v>16</v>
      </c>
      <c r="J68" s="13">
        <v>469.64</v>
      </c>
    </row>
    <row r="69" spans="1:10" x14ac:dyDescent="0.35">
      <c r="A69" s="16">
        <v>10189</v>
      </c>
      <c r="B69" s="15">
        <v>45480</v>
      </c>
      <c r="C69" s="16" t="s">
        <v>17</v>
      </c>
      <c r="D69" s="16" t="s">
        <v>207</v>
      </c>
      <c r="E69" s="16">
        <v>4</v>
      </c>
      <c r="F69" s="16">
        <v>34.99</v>
      </c>
      <c r="G69" s="16">
        <v>139.96</v>
      </c>
      <c r="H69" s="16" t="s">
        <v>19</v>
      </c>
      <c r="I69" s="17" t="s">
        <v>20</v>
      </c>
      <c r="J69" s="16">
        <v>165.15280000000001</v>
      </c>
    </row>
    <row r="70" spans="1:10" x14ac:dyDescent="0.35">
      <c r="A70" s="13">
        <v>10190</v>
      </c>
      <c r="B70" s="12">
        <v>45481</v>
      </c>
      <c r="C70" s="13" t="s">
        <v>21</v>
      </c>
      <c r="D70" s="13" t="s">
        <v>108</v>
      </c>
      <c r="E70" s="13">
        <v>3</v>
      </c>
      <c r="F70" s="13">
        <v>10.99</v>
      </c>
      <c r="G70" s="13">
        <v>32.97</v>
      </c>
      <c r="H70" s="13" t="s">
        <v>11</v>
      </c>
      <c r="I70" s="14" t="s">
        <v>12</v>
      </c>
      <c r="J70" s="13">
        <v>38.904600000000002</v>
      </c>
    </row>
    <row r="71" spans="1:10" x14ac:dyDescent="0.35">
      <c r="A71" s="16">
        <v>10191</v>
      </c>
      <c r="B71" s="15">
        <v>45482</v>
      </c>
      <c r="C71" s="16" t="s">
        <v>23</v>
      </c>
      <c r="D71" s="16" t="s">
        <v>208</v>
      </c>
      <c r="E71" s="16">
        <v>1</v>
      </c>
      <c r="F71" s="16">
        <v>18</v>
      </c>
      <c r="G71" s="16">
        <v>18</v>
      </c>
      <c r="H71" s="16" t="s">
        <v>15</v>
      </c>
      <c r="I71" s="17" t="s">
        <v>16</v>
      </c>
      <c r="J71" s="16">
        <v>21.24</v>
      </c>
    </row>
    <row r="72" spans="1:10" x14ac:dyDescent="0.35">
      <c r="A72" s="13">
        <v>10192</v>
      </c>
      <c r="B72" s="12">
        <v>45483</v>
      </c>
      <c r="C72" s="13" t="s">
        <v>25</v>
      </c>
      <c r="D72" s="13" t="s">
        <v>209</v>
      </c>
      <c r="E72" s="13">
        <v>1</v>
      </c>
      <c r="F72" s="13">
        <v>169.95</v>
      </c>
      <c r="G72" s="13">
        <v>169.95</v>
      </c>
      <c r="H72" s="13" t="s">
        <v>19</v>
      </c>
      <c r="I72" s="14" t="s">
        <v>12</v>
      </c>
      <c r="J72" s="13">
        <v>200.541</v>
      </c>
    </row>
    <row r="73" spans="1:10" x14ac:dyDescent="0.35">
      <c r="A73" s="16">
        <v>10193</v>
      </c>
      <c r="B73" s="15">
        <v>45484</v>
      </c>
      <c r="C73" s="16" t="s">
        <v>9</v>
      </c>
      <c r="D73" s="16" t="s">
        <v>210</v>
      </c>
      <c r="E73" s="16">
        <v>1</v>
      </c>
      <c r="F73" s="16">
        <v>199.99</v>
      </c>
      <c r="G73" s="16">
        <v>199.99</v>
      </c>
      <c r="H73" s="16" t="s">
        <v>11</v>
      </c>
      <c r="I73" s="17" t="s">
        <v>12</v>
      </c>
      <c r="J73" s="16">
        <v>235.98820000000001</v>
      </c>
    </row>
    <row r="74" spans="1:10" x14ac:dyDescent="0.35">
      <c r="A74" s="13">
        <v>10194</v>
      </c>
      <c r="B74" s="12">
        <v>45485</v>
      </c>
      <c r="C74" s="13" t="s">
        <v>13</v>
      </c>
      <c r="D74" s="13" t="s">
        <v>211</v>
      </c>
      <c r="E74" s="13">
        <v>1</v>
      </c>
      <c r="F74" s="13">
        <v>199.95</v>
      </c>
      <c r="G74" s="13">
        <v>199.95</v>
      </c>
      <c r="H74" s="13" t="s">
        <v>15</v>
      </c>
      <c r="I74" s="14" t="s">
        <v>16</v>
      </c>
      <c r="J74" s="13">
        <v>235.94099999999997</v>
      </c>
    </row>
    <row r="75" spans="1:10" x14ac:dyDescent="0.35">
      <c r="A75" s="16">
        <v>10195</v>
      </c>
      <c r="B75" s="15">
        <v>45486</v>
      </c>
      <c r="C75" s="16" t="s">
        <v>17</v>
      </c>
      <c r="D75" s="16" t="s">
        <v>212</v>
      </c>
      <c r="E75" s="16">
        <v>2</v>
      </c>
      <c r="F75" s="16">
        <v>179.99</v>
      </c>
      <c r="G75" s="16">
        <v>359.98</v>
      </c>
      <c r="H75" s="16" t="s">
        <v>19</v>
      </c>
      <c r="I75" s="17" t="s">
        <v>20</v>
      </c>
      <c r="J75" s="16">
        <v>424.77640000000002</v>
      </c>
    </row>
    <row r="76" spans="1:10" x14ac:dyDescent="0.35">
      <c r="A76" s="13">
        <v>10196</v>
      </c>
      <c r="B76" s="12">
        <v>45487</v>
      </c>
      <c r="C76" s="13" t="s">
        <v>21</v>
      </c>
      <c r="D76" s="13" t="s">
        <v>213</v>
      </c>
      <c r="E76" s="13">
        <v>2</v>
      </c>
      <c r="F76" s="13">
        <v>11.99</v>
      </c>
      <c r="G76" s="13">
        <v>23.98</v>
      </c>
      <c r="H76" s="13" t="s">
        <v>11</v>
      </c>
      <c r="I76" s="14" t="s">
        <v>12</v>
      </c>
      <c r="J76" s="13">
        <v>28.296399999999998</v>
      </c>
    </row>
    <row r="77" spans="1:10" x14ac:dyDescent="0.35">
      <c r="A77" s="16">
        <v>10197</v>
      </c>
      <c r="B77" s="15">
        <v>45488</v>
      </c>
      <c r="C77" s="16" t="s">
        <v>23</v>
      </c>
      <c r="D77" s="16" t="s">
        <v>214</v>
      </c>
      <c r="E77" s="16">
        <v>1</v>
      </c>
      <c r="F77" s="16">
        <v>125</v>
      </c>
      <c r="G77" s="16">
        <v>125</v>
      </c>
      <c r="H77" s="16" t="s">
        <v>15</v>
      </c>
      <c r="I77" s="17" t="s">
        <v>16</v>
      </c>
      <c r="J77" s="16">
        <v>147.5</v>
      </c>
    </row>
    <row r="78" spans="1:10" x14ac:dyDescent="0.35">
      <c r="A78" s="13">
        <v>10198</v>
      </c>
      <c r="B78" s="12">
        <v>45489</v>
      </c>
      <c r="C78" s="13" t="s">
        <v>25</v>
      </c>
      <c r="D78" s="13" t="s">
        <v>215</v>
      </c>
      <c r="E78" s="13">
        <v>1</v>
      </c>
      <c r="F78" s="13">
        <v>449.99</v>
      </c>
      <c r="G78" s="13">
        <v>449.99</v>
      </c>
      <c r="H78" s="13" t="s">
        <v>19</v>
      </c>
      <c r="I78" s="14" t="s">
        <v>12</v>
      </c>
      <c r="J78" s="13">
        <v>530.98820000000001</v>
      </c>
    </row>
    <row r="79" spans="1:10" x14ac:dyDescent="0.35">
      <c r="A79" s="16">
        <v>10199</v>
      </c>
      <c r="B79" s="15">
        <v>45490</v>
      </c>
      <c r="C79" s="16" t="s">
        <v>9</v>
      </c>
      <c r="D79" s="16" t="s">
        <v>216</v>
      </c>
      <c r="E79" s="16">
        <v>2</v>
      </c>
      <c r="F79" s="16">
        <v>179</v>
      </c>
      <c r="G79" s="16">
        <v>358</v>
      </c>
      <c r="H79" s="16" t="s">
        <v>11</v>
      </c>
      <c r="I79" s="17" t="s">
        <v>12</v>
      </c>
      <c r="J79" s="16">
        <v>422.44</v>
      </c>
    </row>
    <row r="80" spans="1:10" x14ac:dyDescent="0.35">
      <c r="A80" s="13">
        <v>10200</v>
      </c>
      <c r="B80" s="12">
        <v>45491</v>
      </c>
      <c r="C80" s="13" t="s">
        <v>13</v>
      </c>
      <c r="D80" s="13" t="s">
        <v>217</v>
      </c>
      <c r="E80" s="13">
        <v>1</v>
      </c>
      <c r="F80" s="13">
        <v>99.95</v>
      </c>
      <c r="G80" s="13">
        <v>99.95</v>
      </c>
      <c r="H80" s="13" t="s">
        <v>15</v>
      </c>
      <c r="I80" s="14" t="s">
        <v>16</v>
      </c>
      <c r="J80" s="13">
        <v>117.941</v>
      </c>
    </row>
    <row r="81" spans="1:10" x14ac:dyDescent="0.35">
      <c r="A81" s="16">
        <v>10201</v>
      </c>
      <c r="B81" s="15">
        <v>45492</v>
      </c>
      <c r="C81" s="16" t="s">
        <v>17</v>
      </c>
      <c r="D81" s="16" t="s">
        <v>218</v>
      </c>
      <c r="E81" s="16">
        <v>3</v>
      </c>
      <c r="F81" s="16">
        <v>59.99</v>
      </c>
      <c r="G81" s="16">
        <v>179.97</v>
      </c>
      <c r="H81" s="16" t="s">
        <v>19</v>
      </c>
      <c r="I81" s="17" t="s">
        <v>20</v>
      </c>
      <c r="J81" s="16">
        <v>212.3646</v>
      </c>
    </row>
    <row r="82" spans="1:10" x14ac:dyDescent="0.35">
      <c r="A82" s="13">
        <v>10202</v>
      </c>
      <c r="B82" s="12">
        <v>45493</v>
      </c>
      <c r="C82" s="13" t="s">
        <v>21</v>
      </c>
      <c r="D82" s="13" t="s">
        <v>219</v>
      </c>
      <c r="E82" s="13">
        <v>2</v>
      </c>
      <c r="F82" s="13">
        <v>14.99</v>
      </c>
      <c r="G82" s="13">
        <v>29.98</v>
      </c>
      <c r="H82" s="13" t="s">
        <v>11</v>
      </c>
      <c r="I82" s="14" t="s">
        <v>12</v>
      </c>
      <c r="J82" s="13">
        <v>35.376400000000004</v>
      </c>
    </row>
    <row r="83" spans="1:10" x14ac:dyDescent="0.35">
      <c r="A83" s="16">
        <v>10203</v>
      </c>
      <c r="B83" s="15">
        <v>45494</v>
      </c>
      <c r="C83" s="16" t="s">
        <v>23</v>
      </c>
      <c r="D83" s="16" t="s">
        <v>220</v>
      </c>
      <c r="E83" s="16">
        <v>1</v>
      </c>
      <c r="F83" s="16">
        <v>52</v>
      </c>
      <c r="G83" s="16">
        <v>52</v>
      </c>
      <c r="H83" s="16" t="s">
        <v>15</v>
      </c>
      <c r="I83" s="17" t="s">
        <v>16</v>
      </c>
      <c r="J83" s="16">
        <v>61.36</v>
      </c>
    </row>
    <row r="84" spans="1:10" x14ac:dyDescent="0.35">
      <c r="A84" s="13">
        <v>10204</v>
      </c>
      <c r="B84" s="12">
        <v>45495</v>
      </c>
      <c r="C84" s="13" t="s">
        <v>25</v>
      </c>
      <c r="D84" s="13" t="s">
        <v>221</v>
      </c>
      <c r="E84" s="13">
        <v>1</v>
      </c>
      <c r="F84" s="13">
        <v>399.99</v>
      </c>
      <c r="G84" s="13">
        <v>399.99</v>
      </c>
      <c r="H84" s="13" t="s">
        <v>19</v>
      </c>
      <c r="I84" s="14" t="s">
        <v>12</v>
      </c>
      <c r="J84" s="13">
        <v>471.98820000000001</v>
      </c>
    </row>
    <row r="85" spans="1:10" x14ac:dyDescent="0.35">
      <c r="A85" s="16">
        <v>10205</v>
      </c>
      <c r="B85" s="15">
        <v>45496</v>
      </c>
      <c r="C85" s="16" t="s">
        <v>9</v>
      </c>
      <c r="D85" s="16" t="s">
        <v>222</v>
      </c>
      <c r="E85" s="16">
        <v>1</v>
      </c>
      <c r="F85" s="16">
        <v>299.99</v>
      </c>
      <c r="G85" s="16">
        <v>299.99</v>
      </c>
      <c r="H85" s="16" t="s">
        <v>11</v>
      </c>
      <c r="I85" s="17" t="s">
        <v>12</v>
      </c>
      <c r="J85" s="16">
        <v>353.98820000000001</v>
      </c>
    </row>
    <row r="86" spans="1:10" x14ac:dyDescent="0.35">
      <c r="A86" s="13">
        <v>10206</v>
      </c>
      <c r="B86" s="12">
        <v>45497</v>
      </c>
      <c r="C86" s="13" t="s">
        <v>13</v>
      </c>
      <c r="D86" s="13" t="s">
        <v>223</v>
      </c>
      <c r="E86" s="13">
        <v>1</v>
      </c>
      <c r="F86" s="13">
        <v>379.99</v>
      </c>
      <c r="G86" s="13">
        <v>379.99</v>
      </c>
      <c r="H86" s="13" t="s">
        <v>15</v>
      </c>
      <c r="I86" s="14" t="s">
        <v>16</v>
      </c>
      <c r="J86" s="13">
        <v>448.38819999999998</v>
      </c>
    </row>
    <row r="87" spans="1:10" x14ac:dyDescent="0.35">
      <c r="A87" s="16">
        <v>10207</v>
      </c>
      <c r="B87" s="15">
        <v>45498</v>
      </c>
      <c r="C87" s="16" t="s">
        <v>17</v>
      </c>
      <c r="D87" s="16" t="s">
        <v>224</v>
      </c>
      <c r="E87" s="16">
        <v>2</v>
      </c>
      <c r="F87" s="16">
        <v>98</v>
      </c>
      <c r="G87" s="16">
        <v>196</v>
      </c>
      <c r="H87" s="16" t="s">
        <v>19</v>
      </c>
      <c r="I87" s="17" t="s">
        <v>20</v>
      </c>
      <c r="J87" s="16">
        <v>231.28</v>
      </c>
    </row>
    <row r="88" spans="1:10" x14ac:dyDescent="0.35">
      <c r="A88" s="13">
        <v>10208</v>
      </c>
      <c r="B88" s="12">
        <v>45499</v>
      </c>
      <c r="C88" s="13" t="s">
        <v>21</v>
      </c>
      <c r="D88" s="13" t="s">
        <v>225</v>
      </c>
      <c r="E88" s="13">
        <v>3</v>
      </c>
      <c r="F88" s="13">
        <v>16.989999999999998</v>
      </c>
      <c r="G88" s="13">
        <v>50.97</v>
      </c>
      <c r="H88" s="13" t="s">
        <v>11</v>
      </c>
      <c r="I88" s="14" t="s">
        <v>12</v>
      </c>
      <c r="J88" s="13">
        <v>60.144599999999997</v>
      </c>
    </row>
    <row r="89" spans="1:10" x14ac:dyDescent="0.35">
      <c r="A89" s="16">
        <v>10209</v>
      </c>
      <c r="B89" s="15">
        <v>45500</v>
      </c>
      <c r="C89" s="16" t="s">
        <v>23</v>
      </c>
      <c r="D89" s="16" t="s">
        <v>226</v>
      </c>
      <c r="E89" s="16">
        <v>1</v>
      </c>
      <c r="F89" s="16">
        <v>79</v>
      </c>
      <c r="G89" s="16">
        <v>79</v>
      </c>
      <c r="H89" s="16" t="s">
        <v>15</v>
      </c>
      <c r="I89" s="17" t="s">
        <v>16</v>
      </c>
      <c r="J89" s="16">
        <v>93.22</v>
      </c>
    </row>
    <row r="90" spans="1:10" x14ac:dyDescent="0.35">
      <c r="A90" s="13">
        <v>10210</v>
      </c>
      <c r="B90" s="12">
        <v>45501</v>
      </c>
      <c r="C90" s="13" t="s">
        <v>25</v>
      </c>
      <c r="D90" s="13" t="s">
        <v>227</v>
      </c>
      <c r="E90" s="13">
        <v>1</v>
      </c>
      <c r="F90" s="13">
        <v>129</v>
      </c>
      <c r="G90" s="13">
        <v>129</v>
      </c>
      <c r="H90" s="13" t="s">
        <v>19</v>
      </c>
      <c r="I90" s="14" t="s">
        <v>12</v>
      </c>
      <c r="J90" s="13">
        <v>152.22</v>
      </c>
    </row>
    <row r="91" spans="1:10" x14ac:dyDescent="0.35">
      <c r="A91" s="16">
        <v>10211</v>
      </c>
      <c r="B91" s="15">
        <v>45502</v>
      </c>
      <c r="C91" s="16" t="s">
        <v>9</v>
      </c>
      <c r="D91" s="16" t="s">
        <v>228</v>
      </c>
      <c r="E91" s="16">
        <v>1</v>
      </c>
      <c r="F91" s="16">
        <v>749.99</v>
      </c>
      <c r="G91" s="16">
        <v>749.99</v>
      </c>
      <c r="H91" s="16" t="s">
        <v>11</v>
      </c>
      <c r="I91" s="17" t="s">
        <v>12</v>
      </c>
      <c r="J91" s="16">
        <v>884.98820000000001</v>
      </c>
    </row>
    <row r="92" spans="1:10" x14ac:dyDescent="0.35">
      <c r="A92" s="13">
        <v>10212</v>
      </c>
      <c r="B92" s="12">
        <v>45503</v>
      </c>
      <c r="C92" s="13" t="s">
        <v>13</v>
      </c>
      <c r="D92" s="13" t="s">
        <v>34</v>
      </c>
      <c r="E92" s="13">
        <v>2</v>
      </c>
      <c r="F92" s="13">
        <v>169.99</v>
      </c>
      <c r="G92" s="13">
        <v>339.98</v>
      </c>
      <c r="H92" s="13" t="s">
        <v>15</v>
      </c>
      <c r="I92" s="14" t="s">
        <v>16</v>
      </c>
      <c r="J92" s="13">
        <v>401.1764</v>
      </c>
    </row>
    <row r="93" spans="1:10" x14ac:dyDescent="0.35">
      <c r="A93" s="16">
        <v>10213</v>
      </c>
      <c r="B93" s="15">
        <v>45504</v>
      </c>
      <c r="C93" s="16" t="s">
        <v>17</v>
      </c>
      <c r="D93" s="16" t="s">
        <v>229</v>
      </c>
      <c r="E93" s="16">
        <v>4</v>
      </c>
      <c r="F93" s="16">
        <v>9.9</v>
      </c>
      <c r="G93" s="16">
        <v>39.6</v>
      </c>
      <c r="H93" s="16" t="s">
        <v>19</v>
      </c>
      <c r="I93" s="17" t="s">
        <v>20</v>
      </c>
      <c r="J93" s="16">
        <v>46.728000000000002</v>
      </c>
    </row>
    <row r="94" spans="1:10" x14ac:dyDescent="0.35">
      <c r="A94" s="13">
        <v>10214</v>
      </c>
      <c r="B94" s="12">
        <v>45505</v>
      </c>
      <c r="C94" s="13" t="s">
        <v>21</v>
      </c>
      <c r="D94" s="13" t="s">
        <v>190</v>
      </c>
      <c r="E94" s="13">
        <v>3</v>
      </c>
      <c r="F94" s="13">
        <v>10.99</v>
      </c>
      <c r="G94" s="13">
        <v>32.97</v>
      </c>
      <c r="H94" s="13" t="s">
        <v>11</v>
      </c>
      <c r="I94" s="14" t="s">
        <v>12</v>
      </c>
      <c r="J94" s="13">
        <v>38.904600000000002</v>
      </c>
    </row>
    <row r="95" spans="1:10" x14ac:dyDescent="0.35">
      <c r="A95" s="16">
        <v>10215</v>
      </c>
      <c r="B95" s="15">
        <v>45506</v>
      </c>
      <c r="C95" s="16" t="s">
        <v>23</v>
      </c>
      <c r="D95" s="16" t="s">
        <v>230</v>
      </c>
      <c r="E95" s="16">
        <v>2</v>
      </c>
      <c r="F95" s="16">
        <v>29</v>
      </c>
      <c r="G95" s="16">
        <v>58</v>
      </c>
      <c r="H95" s="16" t="s">
        <v>15</v>
      </c>
      <c r="I95" s="17" t="s">
        <v>16</v>
      </c>
      <c r="J95" s="16">
        <v>68.44</v>
      </c>
    </row>
    <row r="96" spans="1:10" x14ac:dyDescent="0.35">
      <c r="A96" s="13">
        <v>10216</v>
      </c>
      <c r="B96" s="12">
        <v>45507</v>
      </c>
      <c r="C96" s="13" t="s">
        <v>25</v>
      </c>
      <c r="D96" s="13" t="s">
        <v>231</v>
      </c>
      <c r="E96" s="13">
        <v>1</v>
      </c>
      <c r="F96" s="13">
        <v>349.99</v>
      </c>
      <c r="G96" s="13">
        <v>349.99</v>
      </c>
      <c r="H96" s="13" t="s">
        <v>19</v>
      </c>
      <c r="I96" s="14" t="s">
        <v>12</v>
      </c>
      <c r="J96" s="13">
        <v>412.98820000000001</v>
      </c>
    </row>
    <row r="97" spans="1:10" x14ac:dyDescent="0.35">
      <c r="A97" s="16">
        <v>10217</v>
      </c>
      <c r="B97" s="15">
        <v>45508</v>
      </c>
      <c r="C97" s="16" t="s">
        <v>9</v>
      </c>
      <c r="D97" s="16" t="s">
        <v>232</v>
      </c>
      <c r="E97" s="16">
        <v>1</v>
      </c>
      <c r="F97" s="16">
        <v>2399</v>
      </c>
      <c r="G97" s="16">
        <v>2399</v>
      </c>
      <c r="H97" s="16" t="s">
        <v>11</v>
      </c>
      <c r="I97" s="17" t="s">
        <v>12</v>
      </c>
      <c r="J97" s="16">
        <v>2830.82</v>
      </c>
    </row>
    <row r="98" spans="1:10" x14ac:dyDescent="0.35">
      <c r="A98" s="13">
        <v>10218</v>
      </c>
      <c r="B98" s="12">
        <v>45509</v>
      </c>
      <c r="C98" s="13" t="s">
        <v>13</v>
      </c>
      <c r="D98" s="13" t="s">
        <v>233</v>
      </c>
      <c r="E98" s="13">
        <v>1</v>
      </c>
      <c r="F98" s="13">
        <v>449.99</v>
      </c>
      <c r="G98" s="13">
        <v>449.99</v>
      </c>
      <c r="H98" s="13" t="s">
        <v>15</v>
      </c>
      <c r="I98" s="14" t="s">
        <v>16</v>
      </c>
      <c r="J98" s="13">
        <v>530.98820000000001</v>
      </c>
    </row>
    <row r="99" spans="1:10" x14ac:dyDescent="0.35">
      <c r="A99" s="16">
        <v>10219</v>
      </c>
      <c r="B99" s="15">
        <v>45510</v>
      </c>
      <c r="C99" s="16" t="s">
        <v>17</v>
      </c>
      <c r="D99" s="16" t="s">
        <v>234</v>
      </c>
      <c r="E99" s="16">
        <v>3</v>
      </c>
      <c r="F99" s="16">
        <v>49.99</v>
      </c>
      <c r="G99" s="16">
        <v>149.97</v>
      </c>
      <c r="H99" s="16" t="s">
        <v>19</v>
      </c>
      <c r="I99" s="17" t="s">
        <v>20</v>
      </c>
      <c r="J99" s="16">
        <v>176.96459999999999</v>
      </c>
    </row>
    <row r="100" spans="1:10" x14ac:dyDescent="0.35">
      <c r="A100" s="13">
        <v>10220</v>
      </c>
      <c r="B100" s="12">
        <v>45511</v>
      </c>
      <c r="C100" s="13" t="s">
        <v>21</v>
      </c>
      <c r="D100" s="13" t="s">
        <v>235</v>
      </c>
      <c r="E100" s="13">
        <v>2</v>
      </c>
      <c r="F100" s="13">
        <v>12.99</v>
      </c>
      <c r="G100" s="13">
        <v>25.98</v>
      </c>
      <c r="H100" s="13" t="s">
        <v>11</v>
      </c>
      <c r="I100" s="14" t="s">
        <v>12</v>
      </c>
      <c r="J100" s="13">
        <v>30.656400000000001</v>
      </c>
    </row>
    <row r="101" spans="1:10" x14ac:dyDescent="0.35">
      <c r="A101" s="16">
        <v>10221</v>
      </c>
      <c r="B101" s="15">
        <v>45512</v>
      </c>
      <c r="C101" s="16" t="s">
        <v>23</v>
      </c>
      <c r="D101" s="16" t="s">
        <v>236</v>
      </c>
      <c r="E101" s="16">
        <v>1</v>
      </c>
      <c r="F101" s="16">
        <v>27</v>
      </c>
      <c r="G101" s="16">
        <v>27</v>
      </c>
      <c r="H101" s="16" t="s">
        <v>15</v>
      </c>
      <c r="I101" s="17" t="s">
        <v>16</v>
      </c>
      <c r="J101" s="16">
        <v>31.86</v>
      </c>
    </row>
    <row r="102" spans="1:10" x14ac:dyDescent="0.35">
      <c r="A102" s="13">
        <v>10222</v>
      </c>
      <c r="B102" s="12">
        <v>45513</v>
      </c>
      <c r="C102" s="13" t="s">
        <v>25</v>
      </c>
      <c r="D102" s="13" t="s">
        <v>39</v>
      </c>
      <c r="E102" s="13">
        <v>1</v>
      </c>
      <c r="F102" s="13">
        <v>599.99</v>
      </c>
      <c r="G102" s="13">
        <v>599.99</v>
      </c>
      <c r="H102" s="13" t="s">
        <v>19</v>
      </c>
      <c r="I102" s="14" t="s">
        <v>12</v>
      </c>
      <c r="J102" s="13">
        <v>707.98820000000001</v>
      </c>
    </row>
    <row r="103" spans="1:10" x14ac:dyDescent="0.35">
      <c r="A103" s="16">
        <v>10223</v>
      </c>
      <c r="B103" s="15">
        <v>45514</v>
      </c>
      <c r="C103" s="16" t="s">
        <v>9</v>
      </c>
      <c r="D103" s="16" t="s">
        <v>237</v>
      </c>
      <c r="E103" s="16">
        <v>4</v>
      </c>
      <c r="F103" s="16">
        <v>49.99</v>
      </c>
      <c r="G103" s="16">
        <v>199.96</v>
      </c>
      <c r="H103" s="16" t="s">
        <v>11</v>
      </c>
      <c r="I103" s="17" t="s">
        <v>12</v>
      </c>
      <c r="J103" s="16">
        <v>235.95280000000002</v>
      </c>
    </row>
    <row r="104" spans="1:10" x14ac:dyDescent="0.35">
      <c r="A104" s="13">
        <v>10224</v>
      </c>
      <c r="B104" s="12">
        <v>45515</v>
      </c>
      <c r="C104" s="13" t="s">
        <v>13</v>
      </c>
      <c r="D104" s="13" t="s">
        <v>238</v>
      </c>
      <c r="E104" s="13">
        <v>2</v>
      </c>
      <c r="F104" s="13">
        <v>229.99</v>
      </c>
      <c r="G104" s="13">
        <v>459.98</v>
      </c>
      <c r="H104" s="13" t="s">
        <v>15</v>
      </c>
      <c r="I104" s="14" t="s">
        <v>16</v>
      </c>
      <c r="J104" s="13">
        <v>542.77639999999997</v>
      </c>
    </row>
    <row r="105" spans="1:10" x14ac:dyDescent="0.35">
      <c r="A105" s="16">
        <v>10225</v>
      </c>
      <c r="B105" s="15">
        <v>45516</v>
      </c>
      <c r="C105" s="16" t="s">
        <v>17</v>
      </c>
      <c r="D105" s="16" t="s">
        <v>239</v>
      </c>
      <c r="E105" s="16">
        <v>2</v>
      </c>
      <c r="F105" s="16">
        <v>44.99</v>
      </c>
      <c r="G105" s="16">
        <v>89.98</v>
      </c>
      <c r="H105" s="16" t="s">
        <v>19</v>
      </c>
      <c r="I105" s="17" t="s">
        <v>20</v>
      </c>
      <c r="J105" s="16">
        <v>106.1764</v>
      </c>
    </row>
    <row r="106" spans="1:10" x14ac:dyDescent="0.35">
      <c r="A106" s="13">
        <v>10226</v>
      </c>
      <c r="B106" s="12">
        <v>45517</v>
      </c>
      <c r="C106" s="13" t="s">
        <v>21</v>
      </c>
      <c r="D106" s="13" t="s">
        <v>72</v>
      </c>
      <c r="E106" s="13">
        <v>3</v>
      </c>
      <c r="F106" s="13">
        <v>26.99</v>
      </c>
      <c r="G106" s="13">
        <v>80.97</v>
      </c>
      <c r="H106" s="13" t="s">
        <v>11</v>
      </c>
      <c r="I106" s="14" t="s">
        <v>12</v>
      </c>
      <c r="J106" s="13">
        <v>95.544600000000003</v>
      </c>
    </row>
    <row r="107" spans="1:10" x14ac:dyDescent="0.35">
      <c r="A107" s="16">
        <v>10227</v>
      </c>
      <c r="B107" s="15">
        <v>45518</v>
      </c>
      <c r="C107" s="16" t="s">
        <v>23</v>
      </c>
      <c r="D107" s="16" t="s">
        <v>240</v>
      </c>
      <c r="E107" s="16">
        <v>1</v>
      </c>
      <c r="F107" s="16">
        <v>6.7</v>
      </c>
      <c r="G107" s="16">
        <v>6.7</v>
      </c>
      <c r="H107" s="16" t="s">
        <v>15</v>
      </c>
      <c r="I107" s="17" t="s">
        <v>16</v>
      </c>
      <c r="J107" s="16">
        <v>7.9060000000000006</v>
      </c>
    </row>
    <row r="108" spans="1:10" x14ac:dyDescent="0.35">
      <c r="A108" s="13">
        <v>10228</v>
      </c>
      <c r="B108" s="12">
        <v>45519</v>
      </c>
      <c r="C108" s="13" t="s">
        <v>25</v>
      </c>
      <c r="D108" s="13" t="s">
        <v>241</v>
      </c>
      <c r="E108" s="13">
        <v>2</v>
      </c>
      <c r="F108" s="13">
        <v>149.94999999999999</v>
      </c>
      <c r="G108" s="13">
        <v>299.89999999999998</v>
      </c>
      <c r="H108" s="13" t="s">
        <v>19</v>
      </c>
      <c r="I108" s="14" t="s">
        <v>12</v>
      </c>
      <c r="J108" s="13">
        <v>353.88199999999995</v>
      </c>
    </row>
    <row r="109" spans="1:10" x14ac:dyDescent="0.35">
      <c r="A109" s="16">
        <v>10229</v>
      </c>
      <c r="B109" s="15">
        <v>45520</v>
      </c>
      <c r="C109" s="16" t="s">
        <v>9</v>
      </c>
      <c r="D109" s="16" t="s">
        <v>242</v>
      </c>
      <c r="E109" s="16">
        <v>1</v>
      </c>
      <c r="F109" s="16">
        <v>169</v>
      </c>
      <c r="G109" s="16">
        <v>169</v>
      </c>
      <c r="H109" s="16" t="s">
        <v>11</v>
      </c>
      <c r="I109" s="17" t="s">
        <v>12</v>
      </c>
      <c r="J109" s="16">
        <v>199.42</v>
      </c>
    </row>
    <row r="110" spans="1:10" x14ac:dyDescent="0.35">
      <c r="A110" s="13">
        <v>10230</v>
      </c>
      <c r="B110" s="12">
        <v>45521</v>
      </c>
      <c r="C110" s="13" t="s">
        <v>13</v>
      </c>
      <c r="D110" s="13" t="s">
        <v>243</v>
      </c>
      <c r="E110" s="13">
        <v>1</v>
      </c>
      <c r="F110" s="13">
        <v>599</v>
      </c>
      <c r="G110" s="13">
        <v>599</v>
      </c>
      <c r="H110" s="13" t="s">
        <v>15</v>
      </c>
      <c r="I110" s="14" t="s">
        <v>16</v>
      </c>
      <c r="J110" s="13">
        <v>706.81999999999994</v>
      </c>
    </row>
    <row r="111" spans="1:10" x14ac:dyDescent="0.35">
      <c r="A111" s="16">
        <v>10231</v>
      </c>
      <c r="B111" s="15">
        <v>45522</v>
      </c>
      <c r="C111" s="16" t="s">
        <v>17</v>
      </c>
      <c r="D111" s="16" t="s">
        <v>244</v>
      </c>
      <c r="E111" s="16">
        <v>4</v>
      </c>
      <c r="F111" s="16">
        <v>64.989999999999995</v>
      </c>
      <c r="G111" s="16">
        <v>259.95999999999998</v>
      </c>
      <c r="H111" s="16" t="s">
        <v>19</v>
      </c>
      <c r="I111" s="17" t="s">
        <v>20</v>
      </c>
      <c r="J111" s="16">
        <v>306.75279999999998</v>
      </c>
    </row>
    <row r="112" spans="1:10" x14ac:dyDescent="0.35">
      <c r="A112" s="13">
        <v>10232</v>
      </c>
      <c r="B112" s="12">
        <v>45523</v>
      </c>
      <c r="C112" s="13" t="s">
        <v>21</v>
      </c>
      <c r="D112" s="13" t="s">
        <v>30</v>
      </c>
      <c r="E112" s="13">
        <v>2</v>
      </c>
      <c r="F112" s="13">
        <v>9.99</v>
      </c>
      <c r="G112" s="13">
        <v>19.98</v>
      </c>
      <c r="H112" s="13" t="s">
        <v>11</v>
      </c>
      <c r="I112" s="14" t="s">
        <v>12</v>
      </c>
      <c r="J112" s="13">
        <v>23.5764</v>
      </c>
    </row>
    <row r="113" spans="1:10" x14ac:dyDescent="0.35">
      <c r="A113" s="16">
        <v>10233</v>
      </c>
      <c r="B113" s="15">
        <v>45524</v>
      </c>
      <c r="C113" s="16" t="s">
        <v>23</v>
      </c>
      <c r="D113" s="16" t="s">
        <v>245</v>
      </c>
      <c r="E113" s="16">
        <v>1</v>
      </c>
      <c r="F113" s="16">
        <v>24</v>
      </c>
      <c r="G113" s="16">
        <v>24</v>
      </c>
      <c r="H113" s="16" t="s">
        <v>15</v>
      </c>
      <c r="I113" s="17" t="s">
        <v>16</v>
      </c>
      <c r="J113" s="16">
        <v>28.32</v>
      </c>
    </row>
    <row r="114" spans="1:10" x14ac:dyDescent="0.35">
      <c r="A114" s="13">
        <v>10234</v>
      </c>
      <c r="B114" s="12">
        <v>45525</v>
      </c>
      <c r="C114" s="13" t="s">
        <v>25</v>
      </c>
      <c r="D114" s="13" t="s">
        <v>246</v>
      </c>
      <c r="E114" s="13">
        <v>3</v>
      </c>
      <c r="F114" s="13">
        <v>32.950000000000003</v>
      </c>
      <c r="G114" s="13">
        <v>98.85</v>
      </c>
      <c r="H114" s="13" t="s">
        <v>19</v>
      </c>
      <c r="I114" s="14" t="s">
        <v>12</v>
      </c>
      <c r="J114" s="13">
        <v>116.643</v>
      </c>
    </row>
    <row r="115" spans="1:10" x14ac:dyDescent="0.35">
      <c r="A115" s="16">
        <v>10235</v>
      </c>
      <c r="B115" s="15">
        <v>45526</v>
      </c>
      <c r="C115" s="16" t="s">
        <v>9</v>
      </c>
      <c r="D115" s="16" t="s">
        <v>247</v>
      </c>
      <c r="E115" s="16">
        <v>1</v>
      </c>
      <c r="F115" s="16">
        <v>299</v>
      </c>
      <c r="G115" s="16">
        <v>299</v>
      </c>
      <c r="H115" s="16" t="s">
        <v>11</v>
      </c>
      <c r="I115" s="17" t="s">
        <v>12</v>
      </c>
      <c r="J115" s="16">
        <v>352.82</v>
      </c>
    </row>
    <row r="116" spans="1:10" x14ac:dyDescent="0.35">
      <c r="A116" s="13">
        <v>10236</v>
      </c>
      <c r="B116" s="12">
        <v>45527</v>
      </c>
      <c r="C116" s="13" t="s">
        <v>13</v>
      </c>
      <c r="D116" s="13" t="s">
        <v>248</v>
      </c>
      <c r="E116" s="13">
        <v>1</v>
      </c>
      <c r="F116" s="13">
        <v>159.99</v>
      </c>
      <c r="G116" s="13">
        <v>159.99</v>
      </c>
      <c r="H116" s="13" t="s">
        <v>15</v>
      </c>
      <c r="I116" s="14" t="s">
        <v>16</v>
      </c>
      <c r="J116" s="13">
        <v>188.78820000000002</v>
      </c>
    </row>
    <row r="117" spans="1:10" x14ac:dyDescent="0.35">
      <c r="A117" s="16">
        <v>10237</v>
      </c>
      <c r="B117" s="15">
        <v>45528</v>
      </c>
      <c r="C117" s="16" t="s">
        <v>17</v>
      </c>
      <c r="D117" s="16" t="s">
        <v>249</v>
      </c>
      <c r="E117" s="16">
        <v>3</v>
      </c>
      <c r="F117" s="16">
        <v>90</v>
      </c>
      <c r="G117" s="16">
        <v>270</v>
      </c>
      <c r="H117" s="16" t="s">
        <v>19</v>
      </c>
      <c r="I117" s="17" t="s">
        <v>20</v>
      </c>
      <c r="J117" s="16">
        <v>318.60000000000002</v>
      </c>
    </row>
    <row r="118" spans="1:10" x14ac:dyDescent="0.35">
      <c r="A118" s="13">
        <v>10238</v>
      </c>
      <c r="B118" s="12">
        <v>45529</v>
      </c>
      <c r="C118" s="13" t="s">
        <v>21</v>
      </c>
      <c r="D118" s="13" t="s">
        <v>250</v>
      </c>
      <c r="E118" s="13">
        <v>3</v>
      </c>
      <c r="F118" s="13">
        <v>10.99</v>
      </c>
      <c r="G118" s="13">
        <v>32.97</v>
      </c>
      <c r="H118" s="13" t="s">
        <v>11</v>
      </c>
      <c r="I118" s="14" t="s">
        <v>12</v>
      </c>
      <c r="J118" s="13">
        <v>38.904600000000002</v>
      </c>
    </row>
    <row r="119" spans="1:10" x14ac:dyDescent="0.35">
      <c r="A119" s="16">
        <v>10239</v>
      </c>
      <c r="B119" s="15">
        <v>45530</v>
      </c>
      <c r="C119" s="16" t="s">
        <v>23</v>
      </c>
      <c r="D119" s="16" t="s">
        <v>251</v>
      </c>
      <c r="E119" s="16">
        <v>1</v>
      </c>
      <c r="F119" s="16">
        <v>55</v>
      </c>
      <c r="G119" s="16">
        <v>55</v>
      </c>
      <c r="H119" s="16" t="s">
        <v>15</v>
      </c>
      <c r="I119" s="17" t="s">
        <v>16</v>
      </c>
      <c r="J119" s="16">
        <v>64.900000000000006</v>
      </c>
    </row>
    <row r="120" spans="1:10" x14ac:dyDescent="0.35">
      <c r="A120" s="13">
        <v>10240</v>
      </c>
      <c r="B120" s="12">
        <v>45531</v>
      </c>
      <c r="C120" s="13" t="s">
        <v>25</v>
      </c>
      <c r="D120" s="13" t="s">
        <v>252</v>
      </c>
      <c r="E120" s="13">
        <v>2</v>
      </c>
      <c r="F120" s="13">
        <v>29.99</v>
      </c>
      <c r="G120" s="13">
        <v>59.98</v>
      </c>
      <c r="H120" s="13" t="s">
        <v>19</v>
      </c>
      <c r="I120" s="14" t="s">
        <v>12</v>
      </c>
      <c r="J120" s="13">
        <v>70.776399999999995</v>
      </c>
    </row>
    <row r="121" spans="1:10" x14ac:dyDescent="0.35">
      <c r="G121">
        <f>SUM(G2:G120)</f>
        <v>29915.23000000001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3"/>
  <sheetViews>
    <sheetView zoomScale="90" workbookViewId="0">
      <selection activeCell="E129" sqref="E129"/>
    </sheetView>
  </sheetViews>
  <sheetFormatPr defaultRowHeight="14.5" x14ac:dyDescent="0.35"/>
  <cols>
    <col min="1" max="1" width="11.81640625" bestFit="1" customWidth="1"/>
    <col min="2" max="2" width="10.54296875" bestFit="1" customWidth="1"/>
    <col min="3" max="3" width="15.36328125" bestFit="1" customWidth="1"/>
    <col min="4" max="4" width="51.1796875" bestFit="1" customWidth="1"/>
    <col min="5" max="5" width="8.54296875" bestFit="1" customWidth="1"/>
    <col min="6" max="6" width="8.26953125" bestFit="1" customWidth="1"/>
    <col min="7" max="7" width="11.7265625" bestFit="1" customWidth="1"/>
    <col min="8" max="8" width="13" bestFit="1" customWidth="1"/>
    <col min="9" max="9" width="14.1796875" bestFit="1" customWidth="1"/>
    <col min="10" max="10" width="12.90625" bestFit="1" customWidth="1"/>
  </cols>
  <sheetData>
    <row r="1" spans="1:10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20" t="s">
        <v>8</v>
      </c>
      <c r="J1" s="19" t="s">
        <v>253</v>
      </c>
    </row>
    <row r="2" spans="1:10" x14ac:dyDescent="0.35">
      <c r="A2" s="13">
        <v>10001</v>
      </c>
      <c r="B2" s="12">
        <v>45292</v>
      </c>
      <c r="C2" s="13" t="s">
        <v>9</v>
      </c>
      <c r="D2" s="13" t="s">
        <v>10</v>
      </c>
      <c r="E2" s="13">
        <v>2</v>
      </c>
      <c r="F2" s="13">
        <v>999.99</v>
      </c>
      <c r="G2" s="13">
        <v>1999.98</v>
      </c>
      <c r="H2" s="13" t="s">
        <v>11</v>
      </c>
      <c r="I2" s="14" t="s">
        <v>12</v>
      </c>
      <c r="J2" s="18">
        <f>(Table1[[#This Row],[Total Revenue]] * 0.18) + Table1[[#This Row],[Total Revenue]]</f>
        <v>2359.9764</v>
      </c>
    </row>
    <row r="3" spans="1:10" x14ac:dyDescent="0.35">
      <c r="A3" s="16">
        <v>10002</v>
      </c>
      <c r="B3" s="15">
        <v>45293</v>
      </c>
      <c r="C3" s="16" t="s">
        <v>13</v>
      </c>
      <c r="D3" s="16" t="s">
        <v>14</v>
      </c>
      <c r="E3" s="16">
        <v>1</v>
      </c>
      <c r="F3" s="16">
        <v>499.99</v>
      </c>
      <c r="G3" s="16">
        <v>499.99</v>
      </c>
      <c r="H3" s="16" t="s">
        <v>15</v>
      </c>
      <c r="I3" s="17" t="s">
        <v>16</v>
      </c>
      <c r="J3" s="16">
        <f>(Table1[[#This Row],[Total Revenue]] * 0.18) + Table1[[#This Row],[Total Revenue]]</f>
        <v>589.98820000000001</v>
      </c>
    </row>
    <row r="4" spans="1:10" x14ac:dyDescent="0.35">
      <c r="A4" s="13">
        <v>10003</v>
      </c>
      <c r="B4" s="12">
        <v>45294</v>
      </c>
      <c r="C4" s="13" t="s">
        <v>17</v>
      </c>
      <c r="D4" s="13" t="s">
        <v>18</v>
      </c>
      <c r="E4" s="13">
        <v>3</v>
      </c>
      <c r="F4" s="13">
        <v>69.989999999999995</v>
      </c>
      <c r="G4" s="13">
        <v>209.97</v>
      </c>
      <c r="H4" s="13" t="s">
        <v>19</v>
      </c>
      <c r="I4" s="14" t="s">
        <v>20</v>
      </c>
      <c r="J4" s="13">
        <f>(Table1[[#This Row],[Total Revenue]] * 0.18) + Table1[[#This Row],[Total Revenue]]</f>
        <v>247.7646</v>
      </c>
    </row>
    <row r="5" spans="1:10" x14ac:dyDescent="0.35">
      <c r="A5" s="16">
        <v>10004</v>
      </c>
      <c r="B5" s="15">
        <v>45295</v>
      </c>
      <c r="C5" s="16" t="s">
        <v>21</v>
      </c>
      <c r="D5" s="16" t="s">
        <v>22</v>
      </c>
      <c r="E5" s="16">
        <v>4</v>
      </c>
      <c r="F5" s="16">
        <v>15.99</v>
      </c>
      <c r="G5" s="16">
        <v>63.96</v>
      </c>
      <c r="H5" s="16" t="s">
        <v>11</v>
      </c>
      <c r="I5" s="17" t="s">
        <v>12</v>
      </c>
      <c r="J5" s="16">
        <f>(Table1[[#This Row],[Total Revenue]] * 0.18) + Table1[[#This Row],[Total Revenue]]</f>
        <v>75.472800000000007</v>
      </c>
    </row>
    <row r="6" spans="1:10" x14ac:dyDescent="0.35">
      <c r="A6" s="13">
        <v>10005</v>
      </c>
      <c r="B6" s="12">
        <v>45296</v>
      </c>
      <c r="C6" s="13" t="s">
        <v>23</v>
      </c>
      <c r="D6" s="13" t="s">
        <v>24</v>
      </c>
      <c r="E6" s="13">
        <v>1</v>
      </c>
      <c r="F6" s="13">
        <v>89.99</v>
      </c>
      <c r="G6" s="13">
        <v>89.99</v>
      </c>
      <c r="H6" s="13" t="s">
        <v>15</v>
      </c>
      <c r="I6" s="14" t="s">
        <v>16</v>
      </c>
      <c r="J6" s="13">
        <f>(Table1[[#This Row],[Total Revenue]] * 0.18) + Table1[[#This Row],[Total Revenue]]</f>
        <v>106.18819999999999</v>
      </c>
    </row>
    <row r="7" spans="1:10" x14ac:dyDescent="0.35">
      <c r="A7" s="16">
        <v>10006</v>
      </c>
      <c r="B7" s="15">
        <v>45297</v>
      </c>
      <c r="C7" s="16" t="s">
        <v>25</v>
      </c>
      <c r="D7" s="16" t="s">
        <v>26</v>
      </c>
      <c r="E7" s="16">
        <v>5</v>
      </c>
      <c r="F7" s="16">
        <v>29.99</v>
      </c>
      <c r="G7" s="16">
        <v>149.94999999999999</v>
      </c>
      <c r="H7" s="16" t="s">
        <v>19</v>
      </c>
      <c r="I7" s="17" t="s">
        <v>12</v>
      </c>
      <c r="J7" s="16">
        <f>(Table1[[#This Row],[Total Revenue]] * 0.18) + Table1[[#This Row],[Total Revenue]]</f>
        <v>176.94099999999997</v>
      </c>
    </row>
    <row r="8" spans="1:10" x14ac:dyDescent="0.35">
      <c r="A8" s="13">
        <v>10007</v>
      </c>
      <c r="B8" s="12">
        <v>45298</v>
      </c>
      <c r="C8" s="13" t="s">
        <v>9</v>
      </c>
      <c r="D8" s="13" t="s">
        <v>27</v>
      </c>
      <c r="E8" s="13">
        <v>1</v>
      </c>
      <c r="F8" s="13">
        <v>2499.9899999999998</v>
      </c>
      <c r="G8" s="13">
        <v>2499.9899999999998</v>
      </c>
      <c r="H8" s="13" t="s">
        <v>11</v>
      </c>
      <c r="I8" s="14" t="s">
        <v>12</v>
      </c>
      <c r="J8" s="13">
        <f>(Table1[[#This Row],[Total Revenue]] * 0.18) + Table1[[#This Row],[Total Revenue]]</f>
        <v>2949.9881999999998</v>
      </c>
    </row>
    <row r="9" spans="1:10" x14ac:dyDescent="0.35">
      <c r="A9" s="16">
        <v>10008</v>
      </c>
      <c r="B9" s="15">
        <v>45299</v>
      </c>
      <c r="C9" s="16" t="s">
        <v>13</v>
      </c>
      <c r="D9" s="16" t="s">
        <v>28</v>
      </c>
      <c r="E9" s="16">
        <v>2</v>
      </c>
      <c r="F9" s="16">
        <v>599.99</v>
      </c>
      <c r="G9" s="16">
        <v>1199.98</v>
      </c>
      <c r="H9" s="16" t="s">
        <v>15</v>
      </c>
      <c r="I9" s="17" t="s">
        <v>16</v>
      </c>
      <c r="J9" s="16">
        <f>(Table1[[#This Row],[Total Revenue]] * 0.18) + Table1[[#This Row],[Total Revenue]]</f>
        <v>1415.9764</v>
      </c>
    </row>
    <row r="10" spans="1:10" x14ac:dyDescent="0.35">
      <c r="A10" s="13">
        <v>10009</v>
      </c>
      <c r="B10" s="12">
        <v>45300</v>
      </c>
      <c r="C10" s="13" t="s">
        <v>17</v>
      </c>
      <c r="D10" s="13" t="s">
        <v>29</v>
      </c>
      <c r="E10" s="13">
        <v>6</v>
      </c>
      <c r="F10" s="13">
        <v>89.99</v>
      </c>
      <c r="G10" s="13">
        <v>539.94000000000005</v>
      </c>
      <c r="H10" s="13" t="s">
        <v>19</v>
      </c>
      <c r="I10" s="14" t="s">
        <v>20</v>
      </c>
      <c r="J10" s="13">
        <f>(Table1[[#This Row],[Total Revenue]] * 0.18) + Table1[[#This Row],[Total Revenue]]</f>
        <v>637.12920000000008</v>
      </c>
    </row>
    <row r="11" spans="1:10" x14ac:dyDescent="0.35">
      <c r="A11" s="16">
        <v>10010</v>
      </c>
      <c r="B11" s="15">
        <v>45301</v>
      </c>
      <c r="C11" s="16" t="s">
        <v>21</v>
      </c>
      <c r="D11" s="16" t="s">
        <v>30</v>
      </c>
      <c r="E11" s="16">
        <v>2</v>
      </c>
      <c r="F11" s="16">
        <v>25.99</v>
      </c>
      <c r="G11" s="16">
        <v>51.98</v>
      </c>
      <c r="H11" s="16" t="s">
        <v>11</v>
      </c>
      <c r="I11" s="17" t="s">
        <v>12</v>
      </c>
      <c r="J11" s="16">
        <f>(Table1[[#This Row],[Total Revenue]] * 0.18) + Table1[[#This Row],[Total Revenue]]</f>
        <v>61.336399999999998</v>
      </c>
    </row>
    <row r="12" spans="1:10" x14ac:dyDescent="0.35">
      <c r="A12" s="13">
        <v>10011</v>
      </c>
      <c r="B12" s="12">
        <v>45302</v>
      </c>
      <c r="C12" s="13" t="s">
        <v>23</v>
      </c>
      <c r="D12" s="13" t="s">
        <v>31</v>
      </c>
      <c r="E12" s="13">
        <v>1</v>
      </c>
      <c r="F12" s="13">
        <v>129.99</v>
      </c>
      <c r="G12" s="13">
        <v>129.99</v>
      </c>
      <c r="H12" s="13" t="s">
        <v>15</v>
      </c>
      <c r="I12" s="14" t="s">
        <v>16</v>
      </c>
      <c r="J12" s="13">
        <f>(Table1[[#This Row],[Total Revenue]] * 0.18) + Table1[[#This Row],[Total Revenue]]</f>
        <v>153.38820000000001</v>
      </c>
    </row>
    <row r="13" spans="1:10" x14ac:dyDescent="0.35">
      <c r="A13" s="16">
        <v>10012</v>
      </c>
      <c r="B13" s="15">
        <v>45303</v>
      </c>
      <c r="C13" s="16" t="s">
        <v>25</v>
      </c>
      <c r="D13" s="16" t="s">
        <v>32</v>
      </c>
      <c r="E13" s="16">
        <v>3</v>
      </c>
      <c r="F13" s="16">
        <v>199.99</v>
      </c>
      <c r="G13" s="16">
        <v>599.97</v>
      </c>
      <c r="H13" s="16" t="s">
        <v>19</v>
      </c>
      <c r="I13" s="17" t="s">
        <v>12</v>
      </c>
      <c r="J13" s="16">
        <f>(Table1[[#This Row],[Total Revenue]] * 0.18) + Table1[[#This Row],[Total Revenue]]</f>
        <v>707.96460000000002</v>
      </c>
    </row>
    <row r="14" spans="1:10" x14ac:dyDescent="0.35">
      <c r="A14" s="13">
        <v>10013</v>
      </c>
      <c r="B14" s="12">
        <v>45304</v>
      </c>
      <c r="C14" s="13" t="s">
        <v>9</v>
      </c>
      <c r="D14" s="13" t="s">
        <v>33</v>
      </c>
      <c r="E14" s="13">
        <v>2</v>
      </c>
      <c r="F14" s="13">
        <v>749.99</v>
      </c>
      <c r="G14" s="13">
        <v>1499.98</v>
      </c>
      <c r="H14" s="13" t="s">
        <v>11</v>
      </c>
      <c r="I14" s="14" t="s">
        <v>12</v>
      </c>
      <c r="J14" s="13">
        <f>(Table1[[#This Row],[Total Revenue]] * 0.18) + Table1[[#This Row],[Total Revenue]]</f>
        <v>1769.9764</v>
      </c>
    </row>
    <row r="15" spans="1:10" x14ac:dyDescent="0.35">
      <c r="A15" s="16">
        <v>10014</v>
      </c>
      <c r="B15" s="15">
        <v>45305</v>
      </c>
      <c r="C15" s="16" t="s">
        <v>13</v>
      </c>
      <c r="D15" s="16" t="s">
        <v>34</v>
      </c>
      <c r="E15" s="16">
        <v>1</v>
      </c>
      <c r="F15" s="16">
        <v>189.99</v>
      </c>
      <c r="G15" s="16">
        <v>189.99</v>
      </c>
      <c r="H15" s="16" t="s">
        <v>15</v>
      </c>
      <c r="I15" s="17" t="s">
        <v>16</v>
      </c>
      <c r="J15" s="16">
        <f>(Table1[[#This Row],[Total Revenue]] * 0.18) + Table1[[#This Row],[Total Revenue]]</f>
        <v>224.18819999999999</v>
      </c>
    </row>
    <row r="16" spans="1:10" x14ac:dyDescent="0.35">
      <c r="A16" s="13">
        <v>10015</v>
      </c>
      <c r="B16" s="12">
        <v>45306</v>
      </c>
      <c r="C16" s="13" t="s">
        <v>17</v>
      </c>
      <c r="D16" s="13" t="s">
        <v>35</v>
      </c>
      <c r="E16" s="13">
        <v>2</v>
      </c>
      <c r="F16" s="13">
        <v>249.99</v>
      </c>
      <c r="G16" s="13">
        <v>499.98</v>
      </c>
      <c r="H16" s="13" t="s">
        <v>19</v>
      </c>
      <c r="I16" s="14" t="s">
        <v>20</v>
      </c>
      <c r="J16" s="13">
        <f>(Table1[[#This Row],[Total Revenue]] * 0.18) + Table1[[#This Row],[Total Revenue]]</f>
        <v>589.97640000000001</v>
      </c>
    </row>
    <row r="17" spans="1:10" x14ac:dyDescent="0.35">
      <c r="A17" s="16">
        <v>10016</v>
      </c>
      <c r="B17" s="15">
        <v>45307</v>
      </c>
      <c r="C17" s="16" t="s">
        <v>21</v>
      </c>
      <c r="D17" s="16" t="s">
        <v>36</v>
      </c>
      <c r="E17" s="16">
        <v>3</v>
      </c>
      <c r="F17" s="16">
        <v>35.99</v>
      </c>
      <c r="G17" s="16">
        <v>107.97</v>
      </c>
      <c r="H17" s="16" t="s">
        <v>11</v>
      </c>
      <c r="I17" s="17" t="s">
        <v>12</v>
      </c>
      <c r="J17" s="16">
        <f>(Table1[[#This Row],[Total Revenue]] * 0.18) + Table1[[#This Row],[Total Revenue]]</f>
        <v>127.4046</v>
      </c>
    </row>
    <row r="18" spans="1:10" x14ac:dyDescent="0.35">
      <c r="A18" s="13">
        <v>10017</v>
      </c>
      <c r="B18" s="12">
        <v>45308</v>
      </c>
      <c r="C18" s="13" t="s">
        <v>23</v>
      </c>
      <c r="D18" s="13" t="s">
        <v>37</v>
      </c>
      <c r="E18" s="13">
        <v>1</v>
      </c>
      <c r="F18" s="13">
        <v>399.99</v>
      </c>
      <c r="G18" s="13">
        <v>399.99</v>
      </c>
      <c r="H18" s="13" t="s">
        <v>15</v>
      </c>
      <c r="I18" s="14" t="s">
        <v>16</v>
      </c>
      <c r="J18" s="13">
        <f>(Table1[[#This Row],[Total Revenue]] * 0.18) + Table1[[#This Row],[Total Revenue]]</f>
        <v>471.98820000000001</v>
      </c>
    </row>
    <row r="19" spans="1:10" x14ac:dyDescent="0.35">
      <c r="A19" s="16">
        <v>10018</v>
      </c>
      <c r="B19" s="15">
        <v>45309</v>
      </c>
      <c r="C19" s="16" t="s">
        <v>25</v>
      </c>
      <c r="D19" s="16" t="s">
        <v>38</v>
      </c>
      <c r="E19" s="16">
        <v>4</v>
      </c>
      <c r="F19" s="16">
        <v>119.99</v>
      </c>
      <c r="G19" s="16">
        <v>479.96</v>
      </c>
      <c r="H19" s="16" t="s">
        <v>19</v>
      </c>
      <c r="I19" s="17" t="s">
        <v>12</v>
      </c>
      <c r="J19" s="16">
        <f>(Table1[[#This Row],[Total Revenue]] * 0.18) + Table1[[#This Row],[Total Revenue]]</f>
        <v>566.3528</v>
      </c>
    </row>
    <row r="20" spans="1:10" x14ac:dyDescent="0.35">
      <c r="A20" s="13">
        <v>10019</v>
      </c>
      <c r="B20" s="12">
        <v>45310</v>
      </c>
      <c r="C20" s="13" t="s">
        <v>9</v>
      </c>
      <c r="D20" s="13" t="s">
        <v>39</v>
      </c>
      <c r="E20" s="13">
        <v>2</v>
      </c>
      <c r="F20" s="13">
        <v>499.99</v>
      </c>
      <c r="G20" s="13">
        <v>999.98</v>
      </c>
      <c r="H20" s="13" t="s">
        <v>11</v>
      </c>
      <c r="I20" s="14" t="s">
        <v>12</v>
      </c>
      <c r="J20" s="13">
        <f>(Table1[[#This Row],[Total Revenue]] * 0.18) + Table1[[#This Row],[Total Revenue]]</f>
        <v>1179.9764</v>
      </c>
    </row>
    <row r="21" spans="1:10" x14ac:dyDescent="0.35">
      <c r="A21" s="16">
        <v>10020</v>
      </c>
      <c r="B21" s="15">
        <v>45311</v>
      </c>
      <c r="C21" s="16" t="s">
        <v>13</v>
      </c>
      <c r="D21" s="16" t="s">
        <v>40</v>
      </c>
      <c r="E21" s="16">
        <v>1</v>
      </c>
      <c r="F21" s="16">
        <v>99.99</v>
      </c>
      <c r="G21" s="16">
        <v>99.99</v>
      </c>
      <c r="H21" s="16" t="s">
        <v>15</v>
      </c>
      <c r="I21" s="17" t="s">
        <v>16</v>
      </c>
      <c r="J21" s="16">
        <f>(Table1[[#This Row],[Total Revenue]] * 0.18) + Table1[[#This Row],[Total Revenue]]</f>
        <v>117.98819999999999</v>
      </c>
    </row>
    <row r="22" spans="1:10" x14ac:dyDescent="0.35">
      <c r="A22" s="13">
        <v>10021</v>
      </c>
      <c r="B22" s="12">
        <v>45312</v>
      </c>
      <c r="C22" s="13" t="s">
        <v>17</v>
      </c>
      <c r="D22" s="13" t="s">
        <v>41</v>
      </c>
      <c r="E22" s="13">
        <v>3</v>
      </c>
      <c r="F22" s="13">
        <v>59.99</v>
      </c>
      <c r="G22" s="13">
        <v>179.97</v>
      </c>
      <c r="H22" s="13" t="s">
        <v>19</v>
      </c>
      <c r="I22" s="14" t="s">
        <v>20</v>
      </c>
      <c r="J22" s="13">
        <f>(Table1[[#This Row],[Total Revenue]] * 0.18) + Table1[[#This Row],[Total Revenue]]</f>
        <v>212.3646</v>
      </c>
    </row>
    <row r="23" spans="1:10" x14ac:dyDescent="0.35">
      <c r="A23" s="16">
        <v>10022</v>
      </c>
      <c r="B23" s="15">
        <v>45313</v>
      </c>
      <c r="C23" s="16" t="s">
        <v>21</v>
      </c>
      <c r="D23" s="16" t="s">
        <v>42</v>
      </c>
      <c r="E23" s="16">
        <v>2</v>
      </c>
      <c r="F23" s="16">
        <v>22.99</v>
      </c>
      <c r="G23" s="16">
        <v>45.98</v>
      </c>
      <c r="H23" s="16" t="s">
        <v>11</v>
      </c>
      <c r="I23" s="17" t="s">
        <v>12</v>
      </c>
      <c r="J23" s="16">
        <f>(Table1[[#This Row],[Total Revenue]] * 0.18) + Table1[[#This Row],[Total Revenue]]</f>
        <v>54.256399999999999</v>
      </c>
    </row>
    <row r="24" spans="1:10" x14ac:dyDescent="0.35">
      <c r="A24" s="13">
        <v>10023</v>
      </c>
      <c r="B24" s="12">
        <v>45314</v>
      </c>
      <c r="C24" s="13" t="s">
        <v>23</v>
      </c>
      <c r="D24" s="13" t="s">
        <v>43</v>
      </c>
      <c r="E24" s="13">
        <v>1</v>
      </c>
      <c r="F24" s="13">
        <v>49.99</v>
      </c>
      <c r="G24" s="13">
        <v>49.99</v>
      </c>
      <c r="H24" s="13" t="s">
        <v>15</v>
      </c>
      <c r="I24" s="14" t="s">
        <v>16</v>
      </c>
      <c r="J24" s="13">
        <f>(Table1[[#This Row],[Total Revenue]] * 0.18) + Table1[[#This Row],[Total Revenue]]</f>
        <v>58.988200000000006</v>
      </c>
    </row>
    <row r="25" spans="1:10" x14ac:dyDescent="0.35">
      <c r="A25" s="16">
        <v>10024</v>
      </c>
      <c r="B25" s="15">
        <v>45315</v>
      </c>
      <c r="C25" s="16" t="s">
        <v>25</v>
      </c>
      <c r="D25" s="16" t="s">
        <v>44</v>
      </c>
      <c r="E25" s="16">
        <v>3</v>
      </c>
      <c r="F25" s="16">
        <v>29.99</v>
      </c>
      <c r="G25" s="16">
        <v>89.97</v>
      </c>
      <c r="H25" s="16" t="s">
        <v>19</v>
      </c>
      <c r="I25" s="17" t="s">
        <v>12</v>
      </c>
      <c r="J25" s="16">
        <f>(Table1[[#This Row],[Total Revenue]] * 0.18) + Table1[[#This Row],[Total Revenue]]</f>
        <v>106.16459999999999</v>
      </c>
    </row>
    <row r="26" spans="1:10" x14ac:dyDescent="0.35">
      <c r="A26" s="13">
        <v>10025</v>
      </c>
      <c r="B26" s="12">
        <v>45316</v>
      </c>
      <c r="C26" s="13" t="s">
        <v>9</v>
      </c>
      <c r="D26" s="13" t="s">
        <v>45</v>
      </c>
      <c r="E26" s="13">
        <v>1</v>
      </c>
      <c r="F26" s="13">
        <v>299.99</v>
      </c>
      <c r="G26" s="13">
        <v>299.99</v>
      </c>
      <c r="H26" s="13" t="s">
        <v>11</v>
      </c>
      <c r="I26" s="14" t="s">
        <v>12</v>
      </c>
      <c r="J26" s="13">
        <f>(Table1[[#This Row],[Total Revenue]] * 0.18) + Table1[[#This Row],[Total Revenue]]</f>
        <v>353.98820000000001</v>
      </c>
    </row>
    <row r="27" spans="1:10" x14ac:dyDescent="0.35">
      <c r="A27" s="16">
        <v>10026</v>
      </c>
      <c r="B27" s="15">
        <v>45317</v>
      </c>
      <c r="C27" s="16" t="s">
        <v>13</v>
      </c>
      <c r="D27" s="16" t="s">
        <v>46</v>
      </c>
      <c r="E27" s="16">
        <v>1</v>
      </c>
      <c r="F27" s="16">
        <v>179.99</v>
      </c>
      <c r="G27" s="16">
        <v>179.99</v>
      </c>
      <c r="H27" s="16" t="s">
        <v>15</v>
      </c>
      <c r="I27" s="17" t="s">
        <v>16</v>
      </c>
      <c r="J27" s="16">
        <f>(Table1[[#This Row],[Total Revenue]] * 0.18) + Table1[[#This Row],[Total Revenue]]</f>
        <v>212.38820000000001</v>
      </c>
    </row>
    <row r="28" spans="1:10" x14ac:dyDescent="0.35">
      <c r="A28" s="13">
        <v>10027</v>
      </c>
      <c r="B28" s="12">
        <v>45318</v>
      </c>
      <c r="C28" s="13" t="s">
        <v>17</v>
      </c>
      <c r="D28" s="13" t="s">
        <v>47</v>
      </c>
      <c r="E28" s="13">
        <v>2</v>
      </c>
      <c r="F28" s="13">
        <v>179.99</v>
      </c>
      <c r="G28" s="13">
        <v>359.98</v>
      </c>
      <c r="H28" s="13" t="s">
        <v>19</v>
      </c>
      <c r="I28" s="14" t="s">
        <v>20</v>
      </c>
      <c r="J28" s="13">
        <f>(Table1[[#This Row],[Total Revenue]] * 0.18) + Table1[[#This Row],[Total Revenue]]</f>
        <v>424.77640000000002</v>
      </c>
    </row>
    <row r="29" spans="1:10" x14ac:dyDescent="0.35">
      <c r="A29" s="16">
        <v>10028</v>
      </c>
      <c r="B29" s="15">
        <v>45319</v>
      </c>
      <c r="C29" s="16" t="s">
        <v>21</v>
      </c>
      <c r="D29" s="16" t="s">
        <v>48</v>
      </c>
      <c r="E29" s="16">
        <v>3</v>
      </c>
      <c r="F29" s="16">
        <v>12.99</v>
      </c>
      <c r="G29" s="16">
        <v>38.97</v>
      </c>
      <c r="H29" s="16" t="s">
        <v>11</v>
      </c>
      <c r="I29" s="17" t="s">
        <v>12</v>
      </c>
      <c r="J29" s="16">
        <f>(Table1[[#This Row],[Total Revenue]] * 0.18) + Table1[[#This Row],[Total Revenue]]</f>
        <v>45.9846</v>
      </c>
    </row>
    <row r="30" spans="1:10" x14ac:dyDescent="0.35">
      <c r="A30" s="13">
        <v>10029</v>
      </c>
      <c r="B30" s="12">
        <v>45320</v>
      </c>
      <c r="C30" s="13" t="s">
        <v>23</v>
      </c>
      <c r="D30" s="13" t="s">
        <v>49</v>
      </c>
      <c r="E30" s="13">
        <v>1</v>
      </c>
      <c r="F30" s="13">
        <v>29.99</v>
      </c>
      <c r="G30" s="13">
        <v>29.99</v>
      </c>
      <c r="H30" s="13" t="s">
        <v>15</v>
      </c>
      <c r="I30" s="14" t="s">
        <v>16</v>
      </c>
      <c r="J30" s="13">
        <f>(Table1[[#This Row],[Total Revenue]] * 0.18) + Table1[[#This Row],[Total Revenue]]</f>
        <v>35.388199999999998</v>
      </c>
    </row>
    <row r="31" spans="1:10" x14ac:dyDescent="0.35">
      <c r="A31" s="16">
        <v>10030</v>
      </c>
      <c r="B31" s="15">
        <v>45321</v>
      </c>
      <c r="C31" s="16" t="s">
        <v>25</v>
      </c>
      <c r="D31" s="16" t="s">
        <v>50</v>
      </c>
      <c r="E31" s="16">
        <v>2</v>
      </c>
      <c r="F31" s="16">
        <v>129.99</v>
      </c>
      <c r="G31" s="16">
        <v>259.98</v>
      </c>
      <c r="H31" s="16" t="s">
        <v>19</v>
      </c>
      <c r="I31" s="17" t="s">
        <v>12</v>
      </c>
      <c r="J31" s="16">
        <f>(Table1[[#This Row],[Total Revenue]] * 0.18) + Table1[[#This Row],[Total Revenue]]</f>
        <v>306.77640000000002</v>
      </c>
    </row>
    <row r="32" spans="1:10" x14ac:dyDescent="0.35">
      <c r="A32" s="13">
        <v>10031</v>
      </c>
      <c r="B32" s="12">
        <v>45322</v>
      </c>
      <c r="C32" s="13" t="s">
        <v>9</v>
      </c>
      <c r="D32" s="13" t="s">
        <v>51</v>
      </c>
      <c r="E32" s="13">
        <v>2</v>
      </c>
      <c r="F32" s="13">
        <v>349.99</v>
      </c>
      <c r="G32" s="13">
        <v>699.98</v>
      </c>
      <c r="H32" s="13" t="s">
        <v>11</v>
      </c>
      <c r="I32" s="14" t="s">
        <v>12</v>
      </c>
      <c r="J32" s="13">
        <f>(Table1[[#This Row],[Total Revenue]] * 0.18) + Table1[[#This Row],[Total Revenue]]</f>
        <v>825.97640000000001</v>
      </c>
    </row>
    <row r="33" spans="1:10" x14ac:dyDescent="0.35">
      <c r="A33" s="16">
        <v>10032</v>
      </c>
      <c r="B33" s="15">
        <v>45323</v>
      </c>
      <c r="C33" s="16" t="s">
        <v>13</v>
      </c>
      <c r="D33" s="16" t="s">
        <v>52</v>
      </c>
      <c r="E33" s="16">
        <v>3</v>
      </c>
      <c r="F33" s="16">
        <v>89.99</v>
      </c>
      <c r="G33" s="16">
        <v>269.97000000000003</v>
      </c>
      <c r="H33" s="16" t="s">
        <v>15</v>
      </c>
      <c r="I33" s="17" t="s">
        <v>16</v>
      </c>
      <c r="J33" s="16">
        <f>(Table1[[#This Row],[Total Revenue]] * 0.18) + Table1[[#This Row],[Total Revenue]]</f>
        <v>318.56460000000004</v>
      </c>
    </row>
    <row r="34" spans="1:10" x14ac:dyDescent="0.35">
      <c r="A34" s="13">
        <v>10033</v>
      </c>
      <c r="B34" s="12">
        <v>45324</v>
      </c>
      <c r="C34" s="13" t="s">
        <v>17</v>
      </c>
      <c r="D34" s="13" t="s">
        <v>53</v>
      </c>
      <c r="E34" s="13">
        <v>5</v>
      </c>
      <c r="F34" s="13">
        <v>29.99</v>
      </c>
      <c r="G34" s="13">
        <v>149.94999999999999</v>
      </c>
      <c r="H34" s="13" t="s">
        <v>19</v>
      </c>
      <c r="I34" s="14" t="s">
        <v>20</v>
      </c>
      <c r="J34" s="13">
        <f>(Table1[[#This Row],[Total Revenue]] * 0.18) + Table1[[#This Row],[Total Revenue]]</f>
        <v>176.94099999999997</v>
      </c>
    </row>
    <row r="35" spans="1:10" x14ac:dyDescent="0.35">
      <c r="A35" s="16">
        <v>10034</v>
      </c>
      <c r="B35" s="15">
        <v>45325</v>
      </c>
      <c r="C35" s="16" t="s">
        <v>21</v>
      </c>
      <c r="D35" s="16" t="s">
        <v>54</v>
      </c>
      <c r="E35" s="16">
        <v>4</v>
      </c>
      <c r="F35" s="16">
        <v>19.989999999999998</v>
      </c>
      <c r="G35" s="16">
        <v>79.959999999999994</v>
      </c>
      <c r="H35" s="16" t="s">
        <v>11</v>
      </c>
      <c r="I35" s="17" t="s">
        <v>12</v>
      </c>
      <c r="J35" s="16">
        <f>(Table1[[#This Row],[Total Revenue]] * 0.18) + Table1[[#This Row],[Total Revenue]]</f>
        <v>94.352799999999988</v>
      </c>
    </row>
    <row r="36" spans="1:10" x14ac:dyDescent="0.35">
      <c r="A36" s="13">
        <v>10035</v>
      </c>
      <c r="B36" s="12">
        <v>45326</v>
      </c>
      <c r="C36" s="13" t="s">
        <v>23</v>
      </c>
      <c r="D36" s="13" t="s">
        <v>55</v>
      </c>
      <c r="E36" s="13">
        <v>2</v>
      </c>
      <c r="F36" s="13">
        <v>39.99</v>
      </c>
      <c r="G36" s="13">
        <v>79.98</v>
      </c>
      <c r="H36" s="13" t="s">
        <v>15</v>
      </c>
      <c r="I36" s="14" t="s">
        <v>16</v>
      </c>
      <c r="J36" s="13">
        <f>(Table1[[#This Row],[Total Revenue]] * 0.18) + Table1[[#This Row],[Total Revenue]]</f>
        <v>94.376400000000004</v>
      </c>
    </row>
    <row r="37" spans="1:10" x14ac:dyDescent="0.35">
      <c r="A37" s="16">
        <v>10036</v>
      </c>
      <c r="B37" s="15">
        <v>45327</v>
      </c>
      <c r="C37" s="16" t="s">
        <v>25</v>
      </c>
      <c r="D37" s="16" t="s">
        <v>56</v>
      </c>
      <c r="E37" s="16">
        <v>1</v>
      </c>
      <c r="F37" s="16">
        <v>1895</v>
      </c>
      <c r="G37" s="16">
        <v>1895</v>
      </c>
      <c r="H37" s="16" t="s">
        <v>19</v>
      </c>
      <c r="I37" s="17" t="s">
        <v>12</v>
      </c>
      <c r="J37" s="16">
        <f>(Table1[[#This Row],[Total Revenue]] * 0.18) + Table1[[#This Row],[Total Revenue]]</f>
        <v>2236.1</v>
      </c>
    </row>
    <row r="38" spans="1:10" x14ac:dyDescent="0.35">
      <c r="A38" s="13">
        <v>10037</v>
      </c>
      <c r="B38" s="12">
        <v>45328</v>
      </c>
      <c r="C38" s="13" t="s">
        <v>9</v>
      </c>
      <c r="D38" s="13" t="s">
        <v>57</v>
      </c>
      <c r="E38" s="13">
        <v>3</v>
      </c>
      <c r="F38" s="13">
        <v>399.99</v>
      </c>
      <c r="G38" s="13">
        <v>1199.97</v>
      </c>
      <c r="H38" s="13" t="s">
        <v>11</v>
      </c>
      <c r="I38" s="14" t="s">
        <v>12</v>
      </c>
      <c r="J38" s="13">
        <f>(Table1[[#This Row],[Total Revenue]] * 0.18) + Table1[[#This Row],[Total Revenue]]</f>
        <v>1415.9646</v>
      </c>
    </row>
    <row r="39" spans="1:10" x14ac:dyDescent="0.35">
      <c r="A39" s="16">
        <v>10038</v>
      </c>
      <c r="B39" s="15">
        <v>45329</v>
      </c>
      <c r="C39" s="16" t="s">
        <v>13</v>
      </c>
      <c r="D39" s="16" t="s">
        <v>58</v>
      </c>
      <c r="E39" s="16">
        <v>2</v>
      </c>
      <c r="F39" s="16">
        <v>799.99</v>
      </c>
      <c r="G39" s="16">
        <v>1599.98</v>
      </c>
      <c r="H39" s="16" t="s">
        <v>15</v>
      </c>
      <c r="I39" s="17" t="s">
        <v>16</v>
      </c>
      <c r="J39" s="16">
        <f>(Table1[[#This Row],[Total Revenue]] * 0.18) + Table1[[#This Row],[Total Revenue]]</f>
        <v>1887.9764</v>
      </c>
    </row>
    <row r="40" spans="1:10" x14ac:dyDescent="0.35">
      <c r="A40" s="13">
        <v>10039</v>
      </c>
      <c r="B40" s="12">
        <v>45330</v>
      </c>
      <c r="C40" s="13" t="s">
        <v>17</v>
      </c>
      <c r="D40" s="13" t="s">
        <v>59</v>
      </c>
      <c r="E40" s="13">
        <v>4</v>
      </c>
      <c r="F40" s="13">
        <v>59.99</v>
      </c>
      <c r="G40" s="13">
        <v>239.96</v>
      </c>
      <c r="H40" s="13" t="s">
        <v>19</v>
      </c>
      <c r="I40" s="14" t="s">
        <v>20</v>
      </c>
      <c r="J40" s="13">
        <f>(Table1[[#This Row],[Total Revenue]] * 0.18) + Table1[[#This Row],[Total Revenue]]</f>
        <v>283.15280000000001</v>
      </c>
    </row>
    <row r="41" spans="1:10" x14ac:dyDescent="0.35">
      <c r="A41" s="16">
        <v>10040</v>
      </c>
      <c r="B41" s="15">
        <v>45331</v>
      </c>
      <c r="C41" s="16" t="s">
        <v>21</v>
      </c>
      <c r="D41" s="16" t="s">
        <v>60</v>
      </c>
      <c r="E41" s="16">
        <v>3</v>
      </c>
      <c r="F41" s="16">
        <v>24.99</v>
      </c>
      <c r="G41" s="16">
        <v>74.97</v>
      </c>
      <c r="H41" s="16" t="s">
        <v>11</v>
      </c>
      <c r="I41" s="17" t="s">
        <v>12</v>
      </c>
      <c r="J41" s="16">
        <f>(Table1[[#This Row],[Total Revenue]] * 0.18) + Table1[[#This Row],[Total Revenue]]</f>
        <v>88.464600000000004</v>
      </c>
    </row>
    <row r="42" spans="1:10" x14ac:dyDescent="0.35">
      <c r="A42" s="13">
        <v>10041</v>
      </c>
      <c r="B42" s="12">
        <v>45332</v>
      </c>
      <c r="C42" s="13" t="s">
        <v>23</v>
      </c>
      <c r="D42" s="13" t="s">
        <v>61</v>
      </c>
      <c r="E42" s="13">
        <v>1</v>
      </c>
      <c r="F42" s="13">
        <v>105</v>
      </c>
      <c r="G42" s="13">
        <v>105</v>
      </c>
      <c r="H42" s="13" t="s">
        <v>15</v>
      </c>
      <c r="I42" s="14" t="s">
        <v>16</v>
      </c>
      <c r="J42" s="13">
        <f>(Table1[[#This Row],[Total Revenue]] * 0.18) + Table1[[#This Row],[Total Revenue]]</f>
        <v>123.9</v>
      </c>
    </row>
    <row r="43" spans="1:10" x14ac:dyDescent="0.35">
      <c r="A43" s="16">
        <v>10042</v>
      </c>
      <c r="B43" s="15">
        <v>45333</v>
      </c>
      <c r="C43" s="16" t="s">
        <v>25</v>
      </c>
      <c r="D43" s="16" t="s">
        <v>62</v>
      </c>
      <c r="E43" s="16">
        <v>2</v>
      </c>
      <c r="F43" s="16">
        <v>129.99</v>
      </c>
      <c r="G43" s="16">
        <v>259.98</v>
      </c>
      <c r="H43" s="16" t="s">
        <v>19</v>
      </c>
      <c r="I43" s="17" t="s">
        <v>12</v>
      </c>
      <c r="J43" s="16">
        <f>(Table1[[#This Row],[Total Revenue]] * 0.18) + Table1[[#This Row],[Total Revenue]]</f>
        <v>306.77640000000002</v>
      </c>
    </row>
    <row r="44" spans="1:10" x14ac:dyDescent="0.35">
      <c r="A44" s="13">
        <v>10043</v>
      </c>
      <c r="B44" s="12">
        <v>45334</v>
      </c>
      <c r="C44" s="13" t="s">
        <v>9</v>
      </c>
      <c r="D44" s="13" t="s">
        <v>63</v>
      </c>
      <c r="E44" s="13">
        <v>3</v>
      </c>
      <c r="F44" s="13">
        <v>399.99</v>
      </c>
      <c r="G44" s="13">
        <v>1199.97</v>
      </c>
      <c r="H44" s="13" t="s">
        <v>11</v>
      </c>
      <c r="I44" s="14" t="s">
        <v>12</v>
      </c>
      <c r="J44" s="13">
        <f>(Table1[[#This Row],[Total Revenue]] * 0.18) + Table1[[#This Row],[Total Revenue]]</f>
        <v>1415.9646</v>
      </c>
    </row>
    <row r="45" spans="1:10" x14ac:dyDescent="0.35">
      <c r="A45" s="16">
        <v>10044</v>
      </c>
      <c r="B45" s="15">
        <v>45335</v>
      </c>
      <c r="C45" s="16" t="s">
        <v>13</v>
      </c>
      <c r="D45" s="16" t="s">
        <v>64</v>
      </c>
      <c r="E45" s="16">
        <v>1</v>
      </c>
      <c r="F45" s="16">
        <v>199.99</v>
      </c>
      <c r="G45" s="16">
        <v>199.99</v>
      </c>
      <c r="H45" s="16" t="s">
        <v>15</v>
      </c>
      <c r="I45" s="17" t="s">
        <v>16</v>
      </c>
      <c r="J45" s="16">
        <f>(Table1[[#This Row],[Total Revenue]] * 0.18) + Table1[[#This Row],[Total Revenue]]</f>
        <v>235.98820000000001</v>
      </c>
    </row>
    <row r="46" spans="1:10" x14ac:dyDescent="0.35">
      <c r="A46" s="13">
        <v>10045</v>
      </c>
      <c r="B46" s="12">
        <v>45336</v>
      </c>
      <c r="C46" s="13" t="s">
        <v>17</v>
      </c>
      <c r="D46" s="13" t="s">
        <v>65</v>
      </c>
      <c r="E46" s="13">
        <v>2</v>
      </c>
      <c r="F46" s="13">
        <v>139.99</v>
      </c>
      <c r="G46" s="13">
        <v>279.98</v>
      </c>
      <c r="H46" s="13" t="s">
        <v>19</v>
      </c>
      <c r="I46" s="14" t="s">
        <v>20</v>
      </c>
      <c r="J46" s="13">
        <f>(Table1[[#This Row],[Total Revenue]] * 0.18) + Table1[[#This Row],[Total Revenue]]</f>
        <v>330.37639999999999</v>
      </c>
    </row>
    <row r="47" spans="1:10" x14ac:dyDescent="0.35">
      <c r="A47" s="16">
        <v>10046</v>
      </c>
      <c r="B47" s="15">
        <v>45337</v>
      </c>
      <c r="C47" s="16" t="s">
        <v>21</v>
      </c>
      <c r="D47" s="16" t="s">
        <v>66</v>
      </c>
      <c r="E47" s="16">
        <v>4</v>
      </c>
      <c r="F47" s="16">
        <v>32.5</v>
      </c>
      <c r="G47" s="16">
        <v>130</v>
      </c>
      <c r="H47" s="16" t="s">
        <v>11</v>
      </c>
      <c r="I47" s="17" t="s">
        <v>12</v>
      </c>
      <c r="J47" s="16">
        <f>(Table1[[#This Row],[Total Revenue]] * 0.18) + Table1[[#This Row],[Total Revenue]]</f>
        <v>153.4</v>
      </c>
    </row>
    <row r="48" spans="1:10" x14ac:dyDescent="0.35">
      <c r="A48" s="13">
        <v>10047</v>
      </c>
      <c r="B48" s="12">
        <v>45338</v>
      </c>
      <c r="C48" s="13" t="s">
        <v>23</v>
      </c>
      <c r="D48" s="13" t="s">
        <v>67</v>
      </c>
      <c r="E48" s="13">
        <v>1</v>
      </c>
      <c r="F48" s="13">
        <v>52</v>
      </c>
      <c r="G48" s="13">
        <v>52</v>
      </c>
      <c r="H48" s="13" t="s">
        <v>15</v>
      </c>
      <c r="I48" s="14" t="s">
        <v>16</v>
      </c>
      <c r="J48" s="13">
        <f>(Table1[[#This Row],[Total Revenue]] * 0.18) + Table1[[#This Row],[Total Revenue]]</f>
        <v>61.36</v>
      </c>
    </row>
    <row r="49" spans="1:10" x14ac:dyDescent="0.35">
      <c r="A49" s="16">
        <v>10048</v>
      </c>
      <c r="B49" s="15">
        <v>45339</v>
      </c>
      <c r="C49" s="16" t="s">
        <v>25</v>
      </c>
      <c r="D49" s="16" t="s">
        <v>68</v>
      </c>
      <c r="E49" s="16">
        <v>6</v>
      </c>
      <c r="F49" s="16">
        <v>39.99</v>
      </c>
      <c r="G49" s="16">
        <v>239.94</v>
      </c>
      <c r="H49" s="16" t="s">
        <v>19</v>
      </c>
      <c r="I49" s="17" t="s">
        <v>12</v>
      </c>
      <c r="J49" s="16">
        <f>(Table1[[#This Row],[Total Revenue]] * 0.18) + Table1[[#This Row],[Total Revenue]]</f>
        <v>283.12919999999997</v>
      </c>
    </row>
    <row r="50" spans="1:10" x14ac:dyDescent="0.35">
      <c r="A50" s="13">
        <v>10049</v>
      </c>
      <c r="B50" s="12">
        <v>45340</v>
      </c>
      <c r="C50" s="13" t="s">
        <v>9</v>
      </c>
      <c r="D50" s="13" t="s">
        <v>69</v>
      </c>
      <c r="E50" s="13">
        <v>2</v>
      </c>
      <c r="F50" s="13">
        <v>129.99</v>
      </c>
      <c r="G50" s="13">
        <v>259.98</v>
      </c>
      <c r="H50" s="13" t="s">
        <v>11</v>
      </c>
      <c r="I50" s="14" t="s">
        <v>12</v>
      </c>
      <c r="J50" s="13">
        <f>(Table1[[#This Row],[Total Revenue]] * 0.18) + Table1[[#This Row],[Total Revenue]]</f>
        <v>306.77640000000002</v>
      </c>
    </row>
    <row r="51" spans="1:10" x14ac:dyDescent="0.35">
      <c r="A51" s="16">
        <v>10050</v>
      </c>
      <c r="B51" s="15">
        <v>45341</v>
      </c>
      <c r="C51" s="16" t="s">
        <v>13</v>
      </c>
      <c r="D51" s="16" t="s">
        <v>70</v>
      </c>
      <c r="E51" s="16">
        <v>1</v>
      </c>
      <c r="F51" s="16">
        <v>299.99</v>
      </c>
      <c r="G51" s="16">
        <v>299.99</v>
      </c>
      <c r="H51" s="16" t="s">
        <v>15</v>
      </c>
      <c r="I51" s="17" t="s">
        <v>16</v>
      </c>
      <c r="J51" s="16">
        <f>(Table1[[#This Row],[Total Revenue]] * 0.18) + Table1[[#This Row],[Total Revenue]]</f>
        <v>353.98820000000001</v>
      </c>
    </row>
    <row r="52" spans="1:10" x14ac:dyDescent="0.35">
      <c r="A52" s="13">
        <v>10051</v>
      </c>
      <c r="B52" s="12">
        <v>45342</v>
      </c>
      <c r="C52" s="13" t="s">
        <v>17</v>
      </c>
      <c r="D52" s="13" t="s">
        <v>71</v>
      </c>
      <c r="E52" s="13">
        <v>3</v>
      </c>
      <c r="F52" s="13">
        <v>154.99</v>
      </c>
      <c r="G52" s="13">
        <v>464.97</v>
      </c>
      <c r="H52" s="13" t="s">
        <v>19</v>
      </c>
      <c r="I52" s="14" t="s">
        <v>20</v>
      </c>
      <c r="J52" s="13">
        <f>(Table1[[#This Row],[Total Revenue]] * 0.18) + Table1[[#This Row],[Total Revenue]]</f>
        <v>548.66460000000006</v>
      </c>
    </row>
    <row r="53" spans="1:10" x14ac:dyDescent="0.35">
      <c r="A53" s="16">
        <v>10052</v>
      </c>
      <c r="B53" s="15">
        <v>45343</v>
      </c>
      <c r="C53" s="16" t="s">
        <v>21</v>
      </c>
      <c r="D53" s="16" t="s">
        <v>72</v>
      </c>
      <c r="E53" s="16">
        <v>2</v>
      </c>
      <c r="F53" s="16">
        <v>26.99</v>
      </c>
      <c r="G53" s="16">
        <v>53.98</v>
      </c>
      <c r="H53" s="16" t="s">
        <v>11</v>
      </c>
      <c r="I53" s="17" t="s">
        <v>12</v>
      </c>
      <c r="J53" s="16">
        <f>(Table1[[#This Row],[Total Revenue]] * 0.18) + Table1[[#This Row],[Total Revenue]]</f>
        <v>63.696399999999997</v>
      </c>
    </row>
    <row r="54" spans="1:10" x14ac:dyDescent="0.35">
      <c r="A54" s="13">
        <v>10053</v>
      </c>
      <c r="B54" s="12">
        <v>45344</v>
      </c>
      <c r="C54" s="13" t="s">
        <v>23</v>
      </c>
      <c r="D54" s="13" t="s">
        <v>73</v>
      </c>
      <c r="E54" s="13">
        <v>1</v>
      </c>
      <c r="F54" s="13">
        <v>49</v>
      </c>
      <c r="G54" s="13">
        <v>49</v>
      </c>
      <c r="H54" s="13" t="s">
        <v>15</v>
      </c>
      <c r="I54" s="14" t="s">
        <v>16</v>
      </c>
      <c r="J54" s="13">
        <f>(Table1[[#This Row],[Total Revenue]] * 0.18) + Table1[[#This Row],[Total Revenue]]</f>
        <v>57.82</v>
      </c>
    </row>
    <row r="55" spans="1:10" x14ac:dyDescent="0.35">
      <c r="A55" s="16">
        <v>10054</v>
      </c>
      <c r="B55" s="15">
        <v>45345</v>
      </c>
      <c r="C55" s="16" t="s">
        <v>25</v>
      </c>
      <c r="D55" s="16" t="s">
        <v>74</v>
      </c>
      <c r="E55" s="16">
        <v>5</v>
      </c>
      <c r="F55" s="16">
        <v>49.99</v>
      </c>
      <c r="G55" s="16">
        <v>249.95</v>
      </c>
      <c r="H55" s="16" t="s">
        <v>19</v>
      </c>
      <c r="I55" s="17" t="s">
        <v>12</v>
      </c>
      <c r="J55" s="16">
        <f>(Table1[[#This Row],[Total Revenue]] * 0.18) + Table1[[#This Row],[Total Revenue]]</f>
        <v>294.94099999999997</v>
      </c>
    </row>
    <row r="56" spans="1:10" x14ac:dyDescent="0.35">
      <c r="A56" s="13">
        <v>10055</v>
      </c>
      <c r="B56" s="12">
        <v>45346</v>
      </c>
      <c r="C56" s="13" t="s">
        <v>9</v>
      </c>
      <c r="D56" s="13" t="s">
        <v>75</v>
      </c>
      <c r="E56" s="13">
        <v>4</v>
      </c>
      <c r="F56" s="13">
        <v>59.99</v>
      </c>
      <c r="G56" s="13">
        <v>239.96</v>
      </c>
      <c r="H56" s="13" t="s">
        <v>11</v>
      </c>
      <c r="I56" s="14" t="s">
        <v>12</v>
      </c>
      <c r="J56" s="13">
        <f>(Table1[[#This Row],[Total Revenue]] * 0.18) + Table1[[#This Row],[Total Revenue]]</f>
        <v>283.15280000000001</v>
      </c>
    </row>
    <row r="57" spans="1:10" x14ac:dyDescent="0.35">
      <c r="A57" s="16">
        <v>10056</v>
      </c>
      <c r="B57" s="15">
        <v>45347</v>
      </c>
      <c r="C57" s="16" t="s">
        <v>13</v>
      </c>
      <c r="D57" s="16" t="s">
        <v>76</v>
      </c>
      <c r="E57" s="16">
        <v>1</v>
      </c>
      <c r="F57" s="16">
        <v>499.99</v>
      </c>
      <c r="G57" s="16">
        <v>499.99</v>
      </c>
      <c r="H57" s="16" t="s">
        <v>15</v>
      </c>
      <c r="I57" s="17" t="s">
        <v>16</v>
      </c>
      <c r="J57" s="16">
        <f>(Table1[[#This Row],[Total Revenue]] * 0.18) + Table1[[#This Row],[Total Revenue]]</f>
        <v>589.98820000000001</v>
      </c>
    </row>
    <row r="58" spans="1:10" x14ac:dyDescent="0.35">
      <c r="A58" s="13">
        <v>10057</v>
      </c>
      <c r="B58" s="12">
        <v>45348</v>
      </c>
      <c r="C58" s="13" t="s">
        <v>17</v>
      </c>
      <c r="D58" s="13" t="s">
        <v>77</v>
      </c>
      <c r="E58" s="13">
        <v>5</v>
      </c>
      <c r="F58" s="13">
        <v>29.99</v>
      </c>
      <c r="G58" s="13">
        <v>149.94999999999999</v>
      </c>
      <c r="H58" s="13" t="s">
        <v>19</v>
      </c>
      <c r="I58" s="14" t="s">
        <v>20</v>
      </c>
      <c r="J58" s="13">
        <f>(Table1[[#This Row],[Total Revenue]] * 0.18) + Table1[[#This Row],[Total Revenue]]</f>
        <v>176.94099999999997</v>
      </c>
    </row>
    <row r="59" spans="1:10" x14ac:dyDescent="0.35">
      <c r="A59" s="16">
        <v>10058</v>
      </c>
      <c r="B59" s="15">
        <v>45349</v>
      </c>
      <c r="C59" s="16" t="s">
        <v>21</v>
      </c>
      <c r="D59" s="16" t="s">
        <v>78</v>
      </c>
      <c r="E59" s="16">
        <v>3</v>
      </c>
      <c r="F59" s="16">
        <v>28</v>
      </c>
      <c r="G59" s="16">
        <v>84</v>
      </c>
      <c r="H59" s="16" t="s">
        <v>11</v>
      </c>
      <c r="I59" s="17" t="s">
        <v>12</v>
      </c>
      <c r="J59" s="16">
        <f>(Table1[[#This Row],[Total Revenue]] * 0.18) + Table1[[#This Row],[Total Revenue]]</f>
        <v>99.12</v>
      </c>
    </row>
    <row r="60" spans="1:10" x14ac:dyDescent="0.35">
      <c r="A60" s="13">
        <v>10059</v>
      </c>
      <c r="B60" s="12">
        <v>45350</v>
      </c>
      <c r="C60" s="13" t="s">
        <v>23</v>
      </c>
      <c r="D60" s="13" t="s">
        <v>79</v>
      </c>
      <c r="E60" s="13">
        <v>2</v>
      </c>
      <c r="F60" s="13">
        <v>23</v>
      </c>
      <c r="G60" s="13">
        <v>46</v>
      </c>
      <c r="H60" s="13" t="s">
        <v>15</v>
      </c>
      <c r="I60" s="14" t="s">
        <v>16</v>
      </c>
      <c r="J60" s="13">
        <f>(Table1[[#This Row],[Total Revenue]] * 0.18) + Table1[[#This Row],[Total Revenue]]</f>
        <v>54.28</v>
      </c>
    </row>
    <row r="61" spans="1:10" x14ac:dyDescent="0.35">
      <c r="A61" s="16">
        <v>10060</v>
      </c>
      <c r="B61" s="15">
        <v>45351</v>
      </c>
      <c r="C61" s="16" t="s">
        <v>25</v>
      </c>
      <c r="D61" s="16" t="s">
        <v>80</v>
      </c>
      <c r="E61" s="16">
        <v>1</v>
      </c>
      <c r="F61" s="16">
        <v>349</v>
      </c>
      <c r="G61" s="16">
        <v>349</v>
      </c>
      <c r="H61" s="16" t="s">
        <v>19</v>
      </c>
      <c r="I61" s="17" t="s">
        <v>12</v>
      </c>
      <c r="J61" s="16">
        <f>(Table1[[#This Row],[Total Revenue]] * 0.18) + Table1[[#This Row],[Total Revenue]]</f>
        <v>411.82</v>
      </c>
    </row>
    <row r="62" spans="1:10" x14ac:dyDescent="0.35">
      <c r="A62" s="13">
        <v>10061</v>
      </c>
      <c r="B62" s="12">
        <v>45352</v>
      </c>
      <c r="C62" s="13" t="s">
        <v>9</v>
      </c>
      <c r="D62" s="13" t="s">
        <v>81</v>
      </c>
      <c r="E62" s="13">
        <v>3</v>
      </c>
      <c r="F62" s="13">
        <v>299.99</v>
      </c>
      <c r="G62" s="13">
        <v>899.97</v>
      </c>
      <c r="H62" s="13" t="s">
        <v>11</v>
      </c>
      <c r="I62" s="14" t="s">
        <v>12</v>
      </c>
      <c r="J62" s="13">
        <f>(Table1[[#This Row],[Total Revenue]] * 0.18) + Table1[[#This Row],[Total Revenue]]</f>
        <v>1061.9646</v>
      </c>
    </row>
    <row r="63" spans="1:10" x14ac:dyDescent="0.35">
      <c r="A63" s="16">
        <v>10062</v>
      </c>
      <c r="B63" s="15">
        <v>45353</v>
      </c>
      <c r="C63" s="16" t="s">
        <v>13</v>
      </c>
      <c r="D63" s="16" t="s">
        <v>82</v>
      </c>
      <c r="E63" s="16">
        <v>2</v>
      </c>
      <c r="F63" s="16">
        <v>199.99</v>
      </c>
      <c r="G63" s="16">
        <v>399.98</v>
      </c>
      <c r="H63" s="16" t="s">
        <v>15</v>
      </c>
      <c r="I63" s="17" t="s">
        <v>16</v>
      </c>
      <c r="J63" s="16">
        <f>(Table1[[#This Row],[Total Revenue]] * 0.18) + Table1[[#This Row],[Total Revenue]]</f>
        <v>471.97640000000001</v>
      </c>
    </row>
    <row r="64" spans="1:10" x14ac:dyDescent="0.35">
      <c r="A64" s="13">
        <v>10063</v>
      </c>
      <c r="B64" s="12">
        <v>45354</v>
      </c>
      <c r="C64" s="13" t="s">
        <v>17</v>
      </c>
      <c r="D64" s="13" t="s">
        <v>83</v>
      </c>
      <c r="E64" s="13">
        <v>10</v>
      </c>
      <c r="F64" s="13">
        <v>9.99</v>
      </c>
      <c r="G64" s="13">
        <v>99.9</v>
      </c>
      <c r="H64" s="13" t="s">
        <v>19</v>
      </c>
      <c r="I64" s="14" t="s">
        <v>20</v>
      </c>
      <c r="J64" s="13">
        <f>(Table1[[#This Row],[Total Revenue]] * 0.18) + Table1[[#This Row],[Total Revenue]]</f>
        <v>117.88200000000001</v>
      </c>
    </row>
    <row r="65" spans="1:10" x14ac:dyDescent="0.35">
      <c r="A65" s="16">
        <v>10064</v>
      </c>
      <c r="B65" s="15">
        <v>45355</v>
      </c>
      <c r="C65" s="16" t="s">
        <v>21</v>
      </c>
      <c r="D65" s="16" t="s">
        <v>84</v>
      </c>
      <c r="E65" s="16">
        <v>4</v>
      </c>
      <c r="F65" s="16">
        <v>18.989999999999998</v>
      </c>
      <c r="G65" s="16">
        <v>75.959999999999994</v>
      </c>
      <c r="H65" s="16" t="s">
        <v>11</v>
      </c>
      <c r="I65" s="17" t="s">
        <v>12</v>
      </c>
      <c r="J65" s="16">
        <f>(Table1[[#This Row],[Total Revenue]] * 0.18) + Table1[[#This Row],[Total Revenue]]</f>
        <v>89.632799999999989</v>
      </c>
    </row>
    <row r="66" spans="1:10" x14ac:dyDescent="0.35">
      <c r="A66" s="13">
        <v>10065</v>
      </c>
      <c r="B66" s="12">
        <v>45356</v>
      </c>
      <c r="C66" s="13" t="s">
        <v>23</v>
      </c>
      <c r="D66" s="13" t="s">
        <v>85</v>
      </c>
      <c r="E66" s="13">
        <v>1</v>
      </c>
      <c r="F66" s="13">
        <v>102</v>
      </c>
      <c r="G66" s="13">
        <v>102</v>
      </c>
      <c r="H66" s="13" t="s">
        <v>15</v>
      </c>
      <c r="I66" s="14" t="s">
        <v>16</v>
      </c>
      <c r="J66" s="13">
        <f>(Table1[[#This Row],[Total Revenue]] * 0.18) + Table1[[#This Row],[Total Revenue]]</f>
        <v>120.36</v>
      </c>
    </row>
    <row r="67" spans="1:10" x14ac:dyDescent="0.35">
      <c r="A67" s="16">
        <v>10066</v>
      </c>
      <c r="B67" s="15">
        <v>45357</v>
      </c>
      <c r="C67" s="16" t="s">
        <v>25</v>
      </c>
      <c r="D67" s="16" t="s">
        <v>86</v>
      </c>
      <c r="E67" s="16">
        <v>2</v>
      </c>
      <c r="F67" s="16">
        <v>299.99</v>
      </c>
      <c r="G67" s="16">
        <v>599.98</v>
      </c>
      <c r="H67" s="16" t="s">
        <v>19</v>
      </c>
      <c r="I67" s="17" t="s">
        <v>12</v>
      </c>
      <c r="J67" s="16">
        <f>(Table1[[#This Row],[Total Revenue]] * 0.18) + Table1[[#This Row],[Total Revenue]]</f>
        <v>707.97640000000001</v>
      </c>
    </row>
    <row r="68" spans="1:10" x14ac:dyDescent="0.35">
      <c r="A68" s="13">
        <v>10067</v>
      </c>
      <c r="B68" s="12">
        <v>45358</v>
      </c>
      <c r="C68" s="13" t="s">
        <v>9</v>
      </c>
      <c r="D68" s="13" t="s">
        <v>87</v>
      </c>
      <c r="E68" s="13">
        <v>1</v>
      </c>
      <c r="F68" s="13">
        <v>1199.99</v>
      </c>
      <c r="G68" s="13">
        <v>1199.99</v>
      </c>
      <c r="H68" s="13" t="s">
        <v>11</v>
      </c>
      <c r="I68" s="14" t="s">
        <v>12</v>
      </c>
      <c r="J68" s="13">
        <f>(Table1[[#This Row],[Total Revenue]] * 0.18) + Table1[[#This Row],[Total Revenue]]</f>
        <v>1415.9882</v>
      </c>
    </row>
    <row r="69" spans="1:10" x14ac:dyDescent="0.35">
      <c r="A69" s="16">
        <v>10068</v>
      </c>
      <c r="B69" s="15">
        <v>45359</v>
      </c>
      <c r="C69" s="16" t="s">
        <v>13</v>
      </c>
      <c r="D69" s="16" t="s">
        <v>88</v>
      </c>
      <c r="E69" s="16">
        <v>3</v>
      </c>
      <c r="F69" s="16">
        <v>219.99</v>
      </c>
      <c r="G69" s="16">
        <v>659.97</v>
      </c>
      <c r="H69" s="16" t="s">
        <v>15</v>
      </c>
      <c r="I69" s="17" t="s">
        <v>16</v>
      </c>
      <c r="J69" s="16">
        <f>(Table1[[#This Row],[Total Revenue]] * 0.18) + Table1[[#This Row],[Total Revenue]]</f>
        <v>778.76459999999997</v>
      </c>
    </row>
    <row r="70" spans="1:10" x14ac:dyDescent="0.35">
      <c r="A70" s="13">
        <v>10069</v>
      </c>
      <c r="B70" s="12">
        <v>45360</v>
      </c>
      <c r="C70" s="13" t="s">
        <v>17</v>
      </c>
      <c r="D70" s="13" t="s">
        <v>89</v>
      </c>
      <c r="E70" s="13">
        <v>4</v>
      </c>
      <c r="F70" s="13">
        <v>59.99</v>
      </c>
      <c r="G70" s="13">
        <v>239.96</v>
      </c>
      <c r="H70" s="13" t="s">
        <v>19</v>
      </c>
      <c r="I70" s="14" t="s">
        <v>20</v>
      </c>
      <c r="J70" s="13">
        <f>(Table1[[#This Row],[Total Revenue]] * 0.18) + Table1[[#This Row],[Total Revenue]]</f>
        <v>283.15280000000001</v>
      </c>
    </row>
    <row r="71" spans="1:10" x14ac:dyDescent="0.35">
      <c r="A71" s="16">
        <v>10070</v>
      </c>
      <c r="B71" s="15">
        <v>45361</v>
      </c>
      <c r="C71" s="16" t="s">
        <v>21</v>
      </c>
      <c r="D71" s="16" t="s">
        <v>90</v>
      </c>
      <c r="E71" s="16">
        <v>2</v>
      </c>
      <c r="F71" s="16">
        <v>10.99</v>
      </c>
      <c r="G71" s="16">
        <v>21.98</v>
      </c>
      <c r="H71" s="16" t="s">
        <v>11</v>
      </c>
      <c r="I71" s="17" t="s">
        <v>12</v>
      </c>
      <c r="J71" s="16">
        <f>(Table1[[#This Row],[Total Revenue]] * 0.18) + Table1[[#This Row],[Total Revenue]]</f>
        <v>25.936399999999999</v>
      </c>
    </row>
    <row r="72" spans="1:10" x14ac:dyDescent="0.35">
      <c r="A72" s="13">
        <v>10071</v>
      </c>
      <c r="B72" s="12">
        <v>45362</v>
      </c>
      <c r="C72" s="13" t="s">
        <v>23</v>
      </c>
      <c r="D72" s="13" t="s">
        <v>91</v>
      </c>
      <c r="E72" s="13">
        <v>1</v>
      </c>
      <c r="F72" s="13">
        <v>78</v>
      </c>
      <c r="G72" s="13">
        <v>78</v>
      </c>
      <c r="H72" s="13" t="s">
        <v>15</v>
      </c>
      <c r="I72" s="14" t="s">
        <v>16</v>
      </c>
      <c r="J72" s="13">
        <f>(Table1[[#This Row],[Total Revenue]] * 0.18) + Table1[[#This Row],[Total Revenue]]</f>
        <v>92.039999999999992</v>
      </c>
    </row>
    <row r="73" spans="1:10" x14ac:dyDescent="0.35">
      <c r="A73" s="16">
        <v>10072</v>
      </c>
      <c r="B73" s="15">
        <v>45363</v>
      </c>
      <c r="C73" s="16" t="s">
        <v>25</v>
      </c>
      <c r="D73" s="16" t="s">
        <v>92</v>
      </c>
      <c r="E73" s="16">
        <v>3</v>
      </c>
      <c r="F73" s="16">
        <v>129.99</v>
      </c>
      <c r="G73" s="16">
        <v>389.97</v>
      </c>
      <c r="H73" s="16" t="s">
        <v>19</v>
      </c>
      <c r="I73" s="17" t="s">
        <v>12</v>
      </c>
      <c r="J73" s="16">
        <f>(Table1[[#This Row],[Total Revenue]] * 0.18) + Table1[[#This Row],[Total Revenue]]</f>
        <v>460.16460000000006</v>
      </c>
    </row>
    <row r="74" spans="1:10" x14ac:dyDescent="0.35">
      <c r="A74" s="13">
        <v>10073</v>
      </c>
      <c r="B74" s="12">
        <v>45364</v>
      </c>
      <c r="C74" s="13" t="s">
        <v>9</v>
      </c>
      <c r="D74" s="13" t="s">
        <v>93</v>
      </c>
      <c r="E74" s="13">
        <v>1</v>
      </c>
      <c r="F74" s="13">
        <v>1599.99</v>
      </c>
      <c r="G74" s="13">
        <v>1599.99</v>
      </c>
      <c r="H74" s="13" t="s">
        <v>11</v>
      </c>
      <c r="I74" s="14" t="s">
        <v>12</v>
      </c>
      <c r="J74" s="13">
        <f>(Table1[[#This Row],[Total Revenue]] * 0.18) + Table1[[#This Row],[Total Revenue]]</f>
        <v>1887.9882</v>
      </c>
    </row>
    <row r="75" spans="1:10" x14ac:dyDescent="0.35">
      <c r="A75" s="16">
        <v>10074</v>
      </c>
      <c r="B75" s="15">
        <v>45365</v>
      </c>
      <c r="C75" s="16" t="s">
        <v>13</v>
      </c>
      <c r="D75" s="16" t="s">
        <v>94</v>
      </c>
      <c r="E75" s="16">
        <v>1</v>
      </c>
      <c r="F75" s="16">
        <v>899.99</v>
      </c>
      <c r="G75" s="16">
        <v>899.99</v>
      </c>
      <c r="H75" s="16" t="s">
        <v>15</v>
      </c>
      <c r="I75" s="17" t="s">
        <v>16</v>
      </c>
      <c r="J75" s="16">
        <f>(Table1[[#This Row],[Total Revenue]] * 0.18) + Table1[[#This Row],[Total Revenue]]</f>
        <v>1061.9882</v>
      </c>
    </row>
    <row r="76" spans="1:10" x14ac:dyDescent="0.35">
      <c r="A76" s="13">
        <v>10075</v>
      </c>
      <c r="B76" s="12">
        <v>45366</v>
      </c>
      <c r="C76" s="13" t="s">
        <v>17</v>
      </c>
      <c r="D76" s="13" t="s">
        <v>95</v>
      </c>
      <c r="E76" s="13">
        <v>5</v>
      </c>
      <c r="F76" s="13">
        <v>49.99</v>
      </c>
      <c r="G76" s="13">
        <v>249.95</v>
      </c>
      <c r="H76" s="13" t="s">
        <v>19</v>
      </c>
      <c r="I76" s="14" t="s">
        <v>20</v>
      </c>
      <c r="J76" s="13">
        <f>(Table1[[#This Row],[Total Revenue]] * 0.18) + Table1[[#This Row],[Total Revenue]]</f>
        <v>294.94099999999997</v>
      </c>
    </row>
    <row r="77" spans="1:10" x14ac:dyDescent="0.35">
      <c r="A77" s="16">
        <v>10076</v>
      </c>
      <c r="B77" s="15">
        <v>45367</v>
      </c>
      <c r="C77" s="16" t="s">
        <v>21</v>
      </c>
      <c r="D77" s="16" t="s">
        <v>96</v>
      </c>
      <c r="E77" s="16">
        <v>4</v>
      </c>
      <c r="F77" s="16">
        <v>14.99</v>
      </c>
      <c r="G77" s="16">
        <v>59.96</v>
      </c>
      <c r="H77" s="16" t="s">
        <v>11</v>
      </c>
      <c r="I77" s="17" t="s">
        <v>12</v>
      </c>
      <c r="J77" s="16">
        <f>(Table1[[#This Row],[Total Revenue]] * 0.18) + Table1[[#This Row],[Total Revenue]]</f>
        <v>70.752800000000008</v>
      </c>
    </row>
    <row r="78" spans="1:10" x14ac:dyDescent="0.35">
      <c r="A78" s="13">
        <v>10077</v>
      </c>
      <c r="B78" s="12">
        <v>45368</v>
      </c>
      <c r="C78" s="13" t="s">
        <v>23</v>
      </c>
      <c r="D78" s="13" t="s">
        <v>97</v>
      </c>
      <c r="E78" s="13">
        <v>2</v>
      </c>
      <c r="F78" s="13">
        <v>16</v>
      </c>
      <c r="G78" s="13">
        <v>32</v>
      </c>
      <c r="H78" s="13" t="s">
        <v>15</v>
      </c>
      <c r="I78" s="14" t="s">
        <v>16</v>
      </c>
      <c r="J78" s="13">
        <f>(Table1[[#This Row],[Total Revenue]] * 0.18) + Table1[[#This Row],[Total Revenue]]</f>
        <v>37.76</v>
      </c>
    </row>
    <row r="79" spans="1:10" x14ac:dyDescent="0.35">
      <c r="A79" s="16">
        <v>10078</v>
      </c>
      <c r="B79" s="15">
        <v>45369</v>
      </c>
      <c r="C79" s="16" t="s">
        <v>25</v>
      </c>
      <c r="D79" s="16" t="s">
        <v>98</v>
      </c>
      <c r="E79" s="16">
        <v>3</v>
      </c>
      <c r="F79" s="16">
        <v>69.989999999999995</v>
      </c>
      <c r="G79" s="16">
        <v>209.97</v>
      </c>
      <c r="H79" s="16" t="s">
        <v>19</v>
      </c>
      <c r="I79" s="17" t="s">
        <v>12</v>
      </c>
      <c r="J79" s="16">
        <f>(Table1[[#This Row],[Total Revenue]] * 0.18) + Table1[[#This Row],[Total Revenue]]</f>
        <v>247.7646</v>
      </c>
    </row>
    <row r="80" spans="1:10" x14ac:dyDescent="0.35">
      <c r="A80" s="13">
        <v>10079</v>
      </c>
      <c r="B80" s="12">
        <v>45370</v>
      </c>
      <c r="C80" s="13" t="s">
        <v>9</v>
      </c>
      <c r="D80" s="13" t="s">
        <v>99</v>
      </c>
      <c r="E80" s="13">
        <v>2</v>
      </c>
      <c r="F80" s="13">
        <v>249.99</v>
      </c>
      <c r="G80" s="13">
        <v>499.98</v>
      </c>
      <c r="H80" s="13" t="s">
        <v>11</v>
      </c>
      <c r="I80" s="14" t="s">
        <v>12</v>
      </c>
      <c r="J80" s="13">
        <f>(Table1[[#This Row],[Total Revenue]] * 0.18) + Table1[[#This Row],[Total Revenue]]</f>
        <v>589.97640000000001</v>
      </c>
    </row>
    <row r="81" spans="1:10" x14ac:dyDescent="0.35">
      <c r="A81" s="16">
        <v>10080</v>
      </c>
      <c r="B81" s="15">
        <v>45371</v>
      </c>
      <c r="C81" s="16" t="s">
        <v>13</v>
      </c>
      <c r="D81" s="16" t="s">
        <v>100</v>
      </c>
      <c r="E81" s="16">
        <v>1</v>
      </c>
      <c r="F81" s="16">
        <v>499.99</v>
      </c>
      <c r="G81" s="16">
        <v>499.99</v>
      </c>
      <c r="H81" s="16" t="s">
        <v>15</v>
      </c>
      <c r="I81" s="17" t="s">
        <v>16</v>
      </c>
      <c r="J81" s="16">
        <f>(Table1[[#This Row],[Total Revenue]] * 0.18) + Table1[[#This Row],[Total Revenue]]</f>
        <v>589.98820000000001</v>
      </c>
    </row>
    <row r="82" spans="1:10" x14ac:dyDescent="0.35">
      <c r="A82" s="13">
        <v>10081</v>
      </c>
      <c r="B82" s="12">
        <v>45372</v>
      </c>
      <c r="C82" s="13" t="s">
        <v>17</v>
      </c>
      <c r="D82" s="13" t="s">
        <v>101</v>
      </c>
      <c r="E82" s="13">
        <v>2</v>
      </c>
      <c r="F82" s="13">
        <v>89.99</v>
      </c>
      <c r="G82" s="13">
        <v>179.98</v>
      </c>
      <c r="H82" s="13" t="s">
        <v>19</v>
      </c>
      <c r="I82" s="14" t="s">
        <v>20</v>
      </c>
      <c r="J82" s="13">
        <f>(Table1[[#This Row],[Total Revenue]] * 0.18) + Table1[[#This Row],[Total Revenue]]</f>
        <v>212.37639999999999</v>
      </c>
    </row>
    <row r="83" spans="1:10" x14ac:dyDescent="0.35">
      <c r="A83" s="16">
        <v>10082</v>
      </c>
      <c r="B83" s="15">
        <v>45373</v>
      </c>
      <c r="C83" s="16" t="s">
        <v>21</v>
      </c>
      <c r="D83" s="16" t="s">
        <v>102</v>
      </c>
      <c r="E83" s="16">
        <v>3</v>
      </c>
      <c r="F83" s="16">
        <v>12.99</v>
      </c>
      <c r="G83" s="16">
        <v>38.97</v>
      </c>
      <c r="H83" s="16" t="s">
        <v>11</v>
      </c>
      <c r="I83" s="17" t="s">
        <v>12</v>
      </c>
      <c r="J83" s="16">
        <f>(Table1[[#This Row],[Total Revenue]] * 0.18) + Table1[[#This Row],[Total Revenue]]</f>
        <v>45.9846</v>
      </c>
    </row>
    <row r="84" spans="1:10" x14ac:dyDescent="0.35">
      <c r="A84" s="13">
        <v>10083</v>
      </c>
      <c r="B84" s="12">
        <v>45374</v>
      </c>
      <c r="C84" s="13" t="s">
        <v>23</v>
      </c>
      <c r="D84" s="13" t="s">
        <v>103</v>
      </c>
      <c r="E84" s="13">
        <v>1</v>
      </c>
      <c r="F84" s="13">
        <v>100</v>
      </c>
      <c r="G84" s="13">
        <v>100</v>
      </c>
      <c r="H84" s="13" t="s">
        <v>15</v>
      </c>
      <c r="I84" s="14" t="s">
        <v>16</v>
      </c>
      <c r="J84" s="13">
        <f>(Table1[[#This Row],[Total Revenue]] * 0.18) + Table1[[#This Row],[Total Revenue]]</f>
        <v>118</v>
      </c>
    </row>
    <row r="85" spans="1:10" x14ac:dyDescent="0.35">
      <c r="A85" s="16">
        <v>10084</v>
      </c>
      <c r="B85" s="15">
        <v>45375</v>
      </c>
      <c r="C85" s="16" t="s">
        <v>25</v>
      </c>
      <c r="D85" s="16" t="s">
        <v>104</v>
      </c>
      <c r="E85" s="16">
        <v>6</v>
      </c>
      <c r="F85" s="16">
        <v>24.99</v>
      </c>
      <c r="G85" s="16">
        <v>149.94</v>
      </c>
      <c r="H85" s="16" t="s">
        <v>19</v>
      </c>
      <c r="I85" s="17" t="s">
        <v>12</v>
      </c>
      <c r="J85" s="16">
        <f>(Table1[[#This Row],[Total Revenue]] * 0.18) + Table1[[#This Row],[Total Revenue]]</f>
        <v>176.92920000000001</v>
      </c>
    </row>
    <row r="86" spans="1:10" x14ac:dyDescent="0.35">
      <c r="A86" s="13">
        <v>10085</v>
      </c>
      <c r="B86" s="12">
        <v>45376</v>
      </c>
      <c r="C86" s="13" t="s">
        <v>9</v>
      </c>
      <c r="D86" s="13" t="s">
        <v>105</v>
      </c>
      <c r="E86" s="13">
        <v>1</v>
      </c>
      <c r="F86" s="13">
        <v>99.99</v>
      </c>
      <c r="G86" s="13">
        <v>99.99</v>
      </c>
      <c r="H86" s="13" t="s">
        <v>11</v>
      </c>
      <c r="I86" s="14" t="s">
        <v>12</v>
      </c>
      <c r="J86" s="13">
        <f>(Table1[[#This Row],[Total Revenue]] * 0.18) + Table1[[#This Row],[Total Revenue]]</f>
        <v>117.98819999999999</v>
      </c>
    </row>
    <row r="87" spans="1:10" x14ac:dyDescent="0.35">
      <c r="A87" s="16">
        <v>10086</v>
      </c>
      <c r="B87" s="15">
        <v>45377</v>
      </c>
      <c r="C87" s="16" t="s">
        <v>13</v>
      </c>
      <c r="D87" s="16" t="s">
        <v>106</v>
      </c>
      <c r="E87" s="16">
        <v>2</v>
      </c>
      <c r="F87" s="16">
        <v>1299.99</v>
      </c>
      <c r="G87" s="16">
        <v>2599.98</v>
      </c>
      <c r="H87" s="16" t="s">
        <v>15</v>
      </c>
      <c r="I87" s="17" t="s">
        <v>16</v>
      </c>
      <c r="J87" s="16">
        <f>(Table1[[#This Row],[Total Revenue]] * 0.18) + Table1[[#This Row],[Total Revenue]]</f>
        <v>3067.9764</v>
      </c>
    </row>
    <row r="88" spans="1:10" x14ac:dyDescent="0.35">
      <c r="A88" s="13">
        <v>10087</v>
      </c>
      <c r="B88" s="12">
        <v>45378</v>
      </c>
      <c r="C88" s="13" t="s">
        <v>17</v>
      </c>
      <c r="D88" s="13" t="s">
        <v>107</v>
      </c>
      <c r="E88" s="13">
        <v>3</v>
      </c>
      <c r="F88" s="13">
        <v>79.989999999999995</v>
      </c>
      <c r="G88" s="13">
        <v>239.97</v>
      </c>
      <c r="H88" s="13" t="s">
        <v>19</v>
      </c>
      <c r="I88" s="14" t="s">
        <v>20</v>
      </c>
      <c r="J88" s="13">
        <f>(Table1[[#This Row],[Total Revenue]] * 0.18) + Table1[[#This Row],[Total Revenue]]</f>
        <v>283.16460000000001</v>
      </c>
    </row>
    <row r="89" spans="1:10" x14ac:dyDescent="0.35">
      <c r="A89" s="16">
        <v>10088</v>
      </c>
      <c r="B89" s="15">
        <v>45379</v>
      </c>
      <c r="C89" s="16" t="s">
        <v>21</v>
      </c>
      <c r="D89" s="16" t="s">
        <v>108</v>
      </c>
      <c r="E89" s="16">
        <v>4</v>
      </c>
      <c r="F89" s="16">
        <v>13.99</v>
      </c>
      <c r="G89" s="16">
        <v>55.96</v>
      </c>
      <c r="H89" s="16" t="s">
        <v>11</v>
      </c>
      <c r="I89" s="17" t="s">
        <v>12</v>
      </c>
      <c r="J89" s="16">
        <f>(Table1[[#This Row],[Total Revenue]] * 0.18) + Table1[[#This Row],[Total Revenue]]</f>
        <v>66.032799999999995</v>
      </c>
    </row>
    <row r="90" spans="1:10" x14ac:dyDescent="0.35">
      <c r="A90" s="13">
        <v>10089</v>
      </c>
      <c r="B90" s="12">
        <v>45380</v>
      </c>
      <c r="C90" s="13" t="s">
        <v>23</v>
      </c>
      <c r="D90" s="13" t="s">
        <v>109</v>
      </c>
      <c r="E90" s="13">
        <v>1</v>
      </c>
      <c r="F90" s="13">
        <v>105</v>
      </c>
      <c r="G90" s="13">
        <v>105</v>
      </c>
      <c r="H90" s="13" t="s">
        <v>15</v>
      </c>
      <c r="I90" s="14" t="s">
        <v>16</v>
      </c>
      <c r="J90" s="13">
        <f>(Table1[[#This Row],[Total Revenue]] * 0.18) + Table1[[#This Row],[Total Revenue]]</f>
        <v>123.9</v>
      </c>
    </row>
    <row r="91" spans="1:10" x14ac:dyDescent="0.35">
      <c r="A91" s="16">
        <v>10090</v>
      </c>
      <c r="B91" s="15">
        <v>45381</v>
      </c>
      <c r="C91" s="16" t="s">
        <v>25</v>
      </c>
      <c r="D91" s="16" t="s">
        <v>110</v>
      </c>
      <c r="E91" s="16">
        <v>2</v>
      </c>
      <c r="F91" s="16">
        <v>129.99</v>
      </c>
      <c r="G91" s="16">
        <v>259.98</v>
      </c>
      <c r="H91" s="16" t="s">
        <v>19</v>
      </c>
      <c r="I91" s="17" t="s">
        <v>12</v>
      </c>
      <c r="J91" s="16">
        <f>(Table1[[#This Row],[Total Revenue]] * 0.18) + Table1[[#This Row],[Total Revenue]]</f>
        <v>306.77640000000002</v>
      </c>
    </row>
    <row r="92" spans="1:10" x14ac:dyDescent="0.35">
      <c r="A92" s="13">
        <v>10091</v>
      </c>
      <c r="B92" s="12">
        <v>45382</v>
      </c>
      <c r="C92" s="13" t="s">
        <v>9</v>
      </c>
      <c r="D92" s="13" t="s">
        <v>111</v>
      </c>
      <c r="E92" s="13">
        <v>2</v>
      </c>
      <c r="F92" s="13">
        <v>99.99</v>
      </c>
      <c r="G92" s="13">
        <v>199.98</v>
      </c>
      <c r="H92" s="13" t="s">
        <v>11</v>
      </c>
      <c r="I92" s="14" t="s">
        <v>12</v>
      </c>
      <c r="J92" s="13">
        <f>(Table1[[#This Row],[Total Revenue]] * 0.18) + Table1[[#This Row],[Total Revenue]]</f>
        <v>235.97639999999998</v>
      </c>
    </row>
    <row r="93" spans="1:10" x14ac:dyDescent="0.35">
      <c r="A93" s="16">
        <v>10092</v>
      </c>
      <c r="B93" s="15">
        <v>45383</v>
      </c>
      <c r="C93" s="16" t="s">
        <v>13</v>
      </c>
      <c r="D93" s="16" t="s">
        <v>112</v>
      </c>
      <c r="E93" s="16">
        <v>1</v>
      </c>
      <c r="F93" s="16">
        <v>179.99</v>
      </c>
      <c r="G93" s="16">
        <v>179.99</v>
      </c>
      <c r="H93" s="16" t="s">
        <v>15</v>
      </c>
      <c r="I93" s="17" t="s">
        <v>16</v>
      </c>
      <c r="J93" s="16">
        <f>(Table1[[#This Row],[Total Revenue]] * 0.18) + Table1[[#This Row],[Total Revenue]]</f>
        <v>212.38820000000001</v>
      </c>
    </row>
    <row r="94" spans="1:10" x14ac:dyDescent="0.35">
      <c r="A94" s="13">
        <v>10093</v>
      </c>
      <c r="B94" s="12">
        <v>45384</v>
      </c>
      <c r="C94" s="13" t="s">
        <v>17</v>
      </c>
      <c r="D94" s="13" t="s">
        <v>113</v>
      </c>
      <c r="E94" s="13">
        <v>4</v>
      </c>
      <c r="F94" s="13">
        <v>79.989999999999995</v>
      </c>
      <c r="G94" s="13">
        <v>319.95999999999998</v>
      </c>
      <c r="H94" s="13" t="s">
        <v>19</v>
      </c>
      <c r="I94" s="14" t="s">
        <v>20</v>
      </c>
      <c r="J94" s="13">
        <f>(Table1[[#This Row],[Total Revenue]] * 0.18) + Table1[[#This Row],[Total Revenue]]</f>
        <v>377.55279999999999</v>
      </c>
    </row>
    <row r="95" spans="1:10" x14ac:dyDescent="0.35">
      <c r="A95" s="16">
        <v>10094</v>
      </c>
      <c r="B95" s="15">
        <v>45385</v>
      </c>
      <c r="C95" s="16" t="s">
        <v>21</v>
      </c>
      <c r="D95" s="16" t="s">
        <v>114</v>
      </c>
      <c r="E95" s="16">
        <v>3</v>
      </c>
      <c r="F95" s="16">
        <v>14.99</v>
      </c>
      <c r="G95" s="16">
        <v>44.97</v>
      </c>
      <c r="H95" s="16" t="s">
        <v>11</v>
      </c>
      <c r="I95" s="17" t="s">
        <v>12</v>
      </c>
      <c r="J95" s="16">
        <f>(Table1[[#This Row],[Total Revenue]] * 0.18) + Table1[[#This Row],[Total Revenue]]</f>
        <v>53.064599999999999</v>
      </c>
    </row>
    <row r="96" spans="1:10" x14ac:dyDescent="0.35">
      <c r="A96" s="13">
        <v>10095</v>
      </c>
      <c r="B96" s="12">
        <v>45386</v>
      </c>
      <c r="C96" s="13" t="s">
        <v>23</v>
      </c>
      <c r="D96" s="13" t="s">
        <v>115</v>
      </c>
      <c r="E96" s="13">
        <v>1</v>
      </c>
      <c r="F96" s="13">
        <v>68</v>
      </c>
      <c r="G96" s="13">
        <v>68</v>
      </c>
      <c r="H96" s="13" t="s">
        <v>15</v>
      </c>
      <c r="I96" s="14" t="s">
        <v>16</v>
      </c>
      <c r="J96" s="13">
        <f>(Table1[[#This Row],[Total Revenue]] * 0.18) + Table1[[#This Row],[Total Revenue]]</f>
        <v>80.239999999999995</v>
      </c>
    </row>
    <row r="97" spans="1:10" x14ac:dyDescent="0.35">
      <c r="A97" s="16">
        <v>10096</v>
      </c>
      <c r="B97" s="15">
        <v>45387</v>
      </c>
      <c r="C97" s="16" t="s">
        <v>25</v>
      </c>
      <c r="D97" s="16" t="s">
        <v>116</v>
      </c>
      <c r="E97" s="16">
        <v>1</v>
      </c>
      <c r="F97" s="16">
        <v>999.99</v>
      </c>
      <c r="G97" s="16">
        <v>999.99</v>
      </c>
      <c r="H97" s="16" t="s">
        <v>19</v>
      </c>
      <c r="I97" s="17" t="s">
        <v>12</v>
      </c>
      <c r="J97" s="16">
        <f>(Table1[[#This Row],[Total Revenue]] * 0.18) + Table1[[#This Row],[Total Revenue]]</f>
        <v>1179.9882</v>
      </c>
    </row>
    <row r="98" spans="1:10" x14ac:dyDescent="0.35">
      <c r="A98" s="13">
        <v>10097</v>
      </c>
      <c r="B98" s="12">
        <v>45388</v>
      </c>
      <c r="C98" s="13" t="s">
        <v>9</v>
      </c>
      <c r="D98" s="13" t="s">
        <v>117</v>
      </c>
      <c r="E98" s="13">
        <v>3</v>
      </c>
      <c r="F98" s="13">
        <v>299.99</v>
      </c>
      <c r="G98" s="13">
        <v>899.97</v>
      </c>
      <c r="H98" s="13" t="s">
        <v>11</v>
      </c>
      <c r="I98" s="14" t="s">
        <v>12</v>
      </c>
      <c r="J98" s="13">
        <f>(Table1[[#This Row],[Total Revenue]] * 0.18) + Table1[[#This Row],[Total Revenue]]</f>
        <v>1061.9646</v>
      </c>
    </row>
    <row r="99" spans="1:10" x14ac:dyDescent="0.35">
      <c r="A99" s="16">
        <v>10098</v>
      </c>
      <c r="B99" s="15">
        <v>45389</v>
      </c>
      <c r="C99" s="16" t="s">
        <v>13</v>
      </c>
      <c r="D99" s="16" t="s">
        <v>118</v>
      </c>
      <c r="E99" s="16">
        <v>1</v>
      </c>
      <c r="F99" s="16">
        <v>349.99</v>
      </c>
      <c r="G99" s="16">
        <v>349.99</v>
      </c>
      <c r="H99" s="16" t="s">
        <v>15</v>
      </c>
      <c r="I99" s="17" t="s">
        <v>16</v>
      </c>
      <c r="J99" s="16">
        <f>(Table1[[#This Row],[Total Revenue]] * 0.18) + Table1[[#This Row],[Total Revenue]]</f>
        <v>412.98820000000001</v>
      </c>
    </row>
    <row r="100" spans="1:10" x14ac:dyDescent="0.35">
      <c r="A100" s="13">
        <v>10099</v>
      </c>
      <c r="B100" s="12">
        <v>45390</v>
      </c>
      <c r="C100" s="13" t="s">
        <v>17</v>
      </c>
      <c r="D100" s="13" t="s">
        <v>119</v>
      </c>
      <c r="E100" s="13">
        <v>6</v>
      </c>
      <c r="F100" s="13">
        <v>19.989999999999998</v>
      </c>
      <c r="G100" s="13">
        <v>119.94</v>
      </c>
      <c r="H100" s="13" t="s">
        <v>19</v>
      </c>
      <c r="I100" s="14" t="s">
        <v>20</v>
      </c>
      <c r="J100" s="13">
        <f>(Table1[[#This Row],[Total Revenue]] * 0.18) + Table1[[#This Row],[Total Revenue]]</f>
        <v>141.5292</v>
      </c>
    </row>
    <row r="101" spans="1:10" x14ac:dyDescent="0.35">
      <c r="A101" s="16">
        <v>10100</v>
      </c>
      <c r="B101" s="15">
        <v>45391</v>
      </c>
      <c r="C101" s="16" t="s">
        <v>21</v>
      </c>
      <c r="D101" s="16" t="s">
        <v>120</v>
      </c>
      <c r="E101" s="16">
        <v>2</v>
      </c>
      <c r="F101" s="16">
        <v>12.99</v>
      </c>
      <c r="G101" s="16">
        <v>25.98</v>
      </c>
      <c r="H101" s="16" t="s">
        <v>11</v>
      </c>
      <c r="I101" s="17" t="s">
        <v>12</v>
      </c>
      <c r="J101" s="16">
        <f>(Table1[[#This Row],[Total Revenue]] * 0.18) + Table1[[#This Row],[Total Revenue]]</f>
        <v>30.656400000000001</v>
      </c>
    </row>
    <row r="102" spans="1:10" x14ac:dyDescent="0.35">
      <c r="A102" s="13">
        <v>10101</v>
      </c>
      <c r="B102" s="12">
        <v>45392</v>
      </c>
      <c r="C102" s="13" t="s">
        <v>23</v>
      </c>
      <c r="D102" s="13" t="s">
        <v>121</v>
      </c>
      <c r="E102" s="13">
        <v>1</v>
      </c>
      <c r="F102" s="13">
        <v>82</v>
      </c>
      <c r="G102" s="13">
        <v>82</v>
      </c>
      <c r="H102" s="13" t="s">
        <v>15</v>
      </c>
      <c r="I102" s="14" t="s">
        <v>16</v>
      </c>
      <c r="J102" s="13">
        <f>(Table1[[#This Row],[Total Revenue]] * 0.18) + Table1[[#This Row],[Total Revenue]]</f>
        <v>96.76</v>
      </c>
    </row>
    <row r="103" spans="1:10" x14ac:dyDescent="0.35">
      <c r="A103" s="16">
        <v>10102</v>
      </c>
      <c r="B103" s="15">
        <v>45393</v>
      </c>
      <c r="C103" s="16" t="s">
        <v>25</v>
      </c>
      <c r="D103" s="16" t="s">
        <v>122</v>
      </c>
      <c r="E103" s="16">
        <v>2</v>
      </c>
      <c r="F103" s="16">
        <v>109.99</v>
      </c>
      <c r="G103" s="16">
        <v>219.98</v>
      </c>
      <c r="H103" s="16" t="s">
        <v>19</v>
      </c>
      <c r="I103" s="17" t="s">
        <v>12</v>
      </c>
      <c r="J103" s="16">
        <f>(Table1[[#This Row],[Total Revenue]] * 0.18) + Table1[[#This Row],[Total Revenue]]</f>
        <v>259.57639999999998</v>
      </c>
    </row>
    <row r="104" spans="1:10" x14ac:dyDescent="0.35">
      <c r="A104" s="13">
        <v>10103</v>
      </c>
      <c r="B104" s="12">
        <v>45394</v>
      </c>
      <c r="C104" s="13" t="s">
        <v>9</v>
      </c>
      <c r="D104" s="13" t="s">
        <v>123</v>
      </c>
      <c r="E104" s="13">
        <v>1</v>
      </c>
      <c r="F104" s="13">
        <v>3899.99</v>
      </c>
      <c r="G104" s="13">
        <v>3899.99</v>
      </c>
      <c r="H104" s="13" t="s">
        <v>11</v>
      </c>
      <c r="I104" s="14" t="s">
        <v>12</v>
      </c>
      <c r="J104" s="13">
        <f>(Table1[[#This Row],[Total Revenue]] * 0.18) + Table1[[#This Row],[Total Revenue]]</f>
        <v>4601.9881999999998</v>
      </c>
    </row>
    <row r="105" spans="1:10" x14ac:dyDescent="0.35">
      <c r="A105" s="16">
        <v>10104</v>
      </c>
      <c r="B105" s="15">
        <v>45395</v>
      </c>
      <c r="C105" s="16" t="s">
        <v>13</v>
      </c>
      <c r="D105" s="16" t="s">
        <v>124</v>
      </c>
      <c r="E105" s="16">
        <v>2</v>
      </c>
      <c r="F105" s="16">
        <v>349.99</v>
      </c>
      <c r="G105" s="16">
        <v>699.98</v>
      </c>
      <c r="H105" s="16" t="s">
        <v>15</v>
      </c>
      <c r="I105" s="17" t="s">
        <v>16</v>
      </c>
      <c r="J105" s="16">
        <f>(Table1[[#This Row],[Total Revenue]] * 0.18) + Table1[[#This Row],[Total Revenue]]</f>
        <v>825.97640000000001</v>
      </c>
    </row>
    <row r="106" spans="1:10" x14ac:dyDescent="0.35">
      <c r="A106" s="13">
        <v>10105</v>
      </c>
      <c r="B106" s="12">
        <v>45396</v>
      </c>
      <c r="C106" s="13" t="s">
        <v>17</v>
      </c>
      <c r="D106" s="13" t="s">
        <v>125</v>
      </c>
      <c r="E106" s="13">
        <v>3</v>
      </c>
      <c r="F106" s="13">
        <v>39.99</v>
      </c>
      <c r="G106" s="13">
        <v>119.97</v>
      </c>
      <c r="H106" s="13" t="s">
        <v>19</v>
      </c>
      <c r="I106" s="14" t="s">
        <v>20</v>
      </c>
      <c r="J106" s="13">
        <f>(Table1[[#This Row],[Total Revenue]] * 0.18) + Table1[[#This Row],[Total Revenue]]</f>
        <v>141.56459999999998</v>
      </c>
    </row>
    <row r="107" spans="1:10" x14ac:dyDescent="0.35">
      <c r="A107" s="16">
        <v>10106</v>
      </c>
      <c r="B107" s="15">
        <v>45397</v>
      </c>
      <c r="C107" s="16" t="s">
        <v>21</v>
      </c>
      <c r="D107" s="16" t="s">
        <v>126</v>
      </c>
      <c r="E107" s="16">
        <v>4</v>
      </c>
      <c r="F107" s="16">
        <v>10.99</v>
      </c>
      <c r="G107" s="16">
        <v>43.96</v>
      </c>
      <c r="H107" s="16" t="s">
        <v>11</v>
      </c>
      <c r="I107" s="17" t="s">
        <v>12</v>
      </c>
      <c r="J107" s="16">
        <f>(Table1[[#This Row],[Total Revenue]] * 0.18) + Table1[[#This Row],[Total Revenue]]</f>
        <v>51.872799999999998</v>
      </c>
    </row>
    <row r="108" spans="1:10" x14ac:dyDescent="0.35">
      <c r="A108" s="13">
        <v>10107</v>
      </c>
      <c r="B108" s="12">
        <v>45398</v>
      </c>
      <c r="C108" s="13" t="s">
        <v>23</v>
      </c>
      <c r="D108" s="13" t="s">
        <v>127</v>
      </c>
      <c r="E108" s="13">
        <v>1</v>
      </c>
      <c r="F108" s="13">
        <v>6.5</v>
      </c>
      <c r="G108" s="13">
        <v>6.5</v>
      </c>
      <c r="H108" s="13" t="s">
        <v>15</v>
      </c>
      <c r="I108" s="14" t="s">
        <v>16</v>
      </c>
      <c r="J108" s="13">
        <f>(Table1[[#This Row],[Total Revenue]] * 0.18) + Table1[[#This Row],[Total Revenue]]</f>
        <v>7.67</v>
      </c>
    </row>
    <row r="109" spans="1:10" x14ac:dyDescent="0.35">
      <c r="A109" s="16">
        <v>10108</v>
      </c>
      <c r="B109" s="15">
        <v>45399</v>
      </c>
      <c r="C109" s="16" t="s">
        <v>25</v>
      </c>
      <c r="D109" s="16" t="s">
        <v>128</v>
      </c>
      <c r="E109" s="16">
        <v>1</v>
      </c>
      <c r="F109" s="16">
        <v>399.99</v>
      </c>
      <c r="G109" s="16">
        <v>399.99</v>
      </c>
      <c r="H109" s="16" t="s">
        <v>19</v>
      </c>
      <c r="I109" s="17" t="s">
        <v>12</v>
      </c>
      <c r="J109" s="16">
        <f>(Table1[[#This Row],[Total Revenue]] * 0.18) + Table1[[#This Row],[Total Revenue]]</f>
        <v>471.98820000000001</v>
      </c>
    </row>
    <row r="110" spans="1:10" x14ac:dyDescent="0.35">
      <c r="A110" s="13">
        <v>10109</v>
      </c>
      <c r="B110" s="12">
        <v>45400</v>
      </c>
      <c r="C110" s="13" t="s">
        <v>9</v>
      </c>
      <c r="D110" s="13" t="s">
        <v>129</v>
      </c>
      <c r="E110" s="13">
        <v>2</v>
      </c>
      <c r="F110" s="13">
        <v>229.99</v>
      </c>
      <c r="G110" s="13">
        <v>459.98</v>
      </c>
      <c r="H110" s="13" t="s">
        <v>11</v>
      </c>
      <c r="I110" s="14" t="s">
        <v>12</v>
      </c>
      <c r="J110" s="13">
        <f>(Table1[[#This Row],[Total Revenue]] * 0.18) + Table1[[#This Row],[Total Revenue]]</f>
        <v>542.77639999999997</v>
      </c>
    </row>
    <row r="111" spans="1:10" x14ac:dyDescent="0.35">
      <c r="A111" s="16">
        <v>10110</v>
      </c>
      <c r="B111" s="15">
        <v>45401</v>
      </c>
      <c r="C111" s="16" t="s">
        <v>13</v>
      </c>
      <c r="D111" s="16" t="s">
        <v>130</v>
      </c>
      <c r="E111" s="16">
        <v>1</v>
      </c>
      <c r="F111" s="16">
        <v>159.99</v>
      </c>
      <c r="G111" s="16">
        <v>159.99</v>
      </c>
      <c r="H111" s="16" t="s">
        <v>15</v>
      </c>
      <c r="I111" s="17" t="s">
        <v>16</v>
      </c>
      <c r="J111" s="16">
        <f>(Table1[[#This Row],[Total Revenue]] * 0.18) + Table1[[#This Row],[Total Revenue]]</f>
        <v>188.78820000000002</v>
      </c>
    </row>
    <row r="112" spans="1:10" x14ac:dyDescent="0.35">
      <c r="A112" s="13">
        <v>10111</v>
      </c>
      <c r="B112" s="12">
        <v>45402</v>
      </c>
      <c r="C112" s="13" t="s">
        <v>17</v>
      </c>
      <c r="D112" s="13" t="s">
        <v>131</v>
      </c>
      <c r="E112" s="13">
        <v>4</v>
      </c>
      <c r="F112" s="13">
        <v>14.99</v>
      </c>
      <c r="G112" s="13">
        <v>59.96</v>
      </c>
      <c r="H112" s="13" t="s">
        <v>19</v>
      </c>
      <c r="I112" s="14" t="s">
        <v>20</v>
      </c>
      <c r="J112" s="13">
        <f>(Table1[[#This Row],[Total Revenue]] * 0.18) + Table1[[#This Row],[Total Revenue]]</f>
        <v>70.752800000000008</v>
      </c>
    </row>
    <row r="113" spans="1:10" x14ac:dyDescent="0.35">
      <c r="A113" s="16">
        <v>10112</v>
      </c>
      <c r="B113" s="15">
        <v>45403</v>
      </c>
      <c r="C113" s="16" t="s">
        <v>21</v>
      </c>
      <c r="D113" s="16" t="s">
        <v>132</v>
      </c>
      <c r="E113" s="16">
        <v>2</v>
      </c>
      <c r="F113" s="16">
        <v>18.989999999999998</v>
      </c>
      <c r="G113" s="16">
        <v>37.979999999999997</v>
      </c>
      <c r="H113" s="16" t="s">
        <v>11</v>
      </c>
      <c r="I113" s="17" t="s">
        <v>12</v>
      </c>
      <c r="J113" s="16">
        <f>(Table1[[#This Row],[Total Revenue]] * 0.18) + Table1[[#This Row],[Total Revenue]]</f>
        <v>44.816399999999994</v>
      </c>
    </row>
    <row r="114" spans="1:10" x14ac:dyDescent="0.35">
      <c r="A114" s="13">
        <v>10113</v>
      </c>
      <c r="B114" s="12">
        <v>45404</v>
      </c>
      <c r="C114" s="13" t="s">
        <v>23</v>
      </c>
      <c r="D114" s="13" t="s">
        <v>133</v>
      </c>
      <c r="E114" s="13">
        <v>1</v>
      </c>
      <c r="F114" s="13">
        <v>15</v>
      </c>
      <c r="G114" s="13">
        <v>15</v>
      </c>
      <c r="H114" s="13" t="s">
        <v>15</v>
      </c>
      <c r="I114" s="14" t="s">
        <v>16</v>
      </c>
      <c r="J114" s="13">
        <f>(Table1[[#This Row],[Total Revenue]] * 0.18) + Table1[[#This Row],[Total Revenue]]</f>
        <v>17.7</v>
      </c>
    </row>
    <row r="115" spans="1:10" x14ac:dyDescent="0.35">
      <c r="A115" s="16">
        <v>10114</v>
      </c>
      <c r="B115" s="15">
        <v>45405</v>
      </c>
      <c r="C115" s="16" t="s">
        <v>25</v>
      </c>
      <c r="D115" s="16" t="s">
        <v>134</v>
      </c>
      <c r="E115" s="16">
        <v>3</v>
      </c>
      <c r="F115" s="16">
        <v>229.95</v>
      </c>
      <c r="G115" s="16">
        <v>689.85</v>
      </c>
      <c r="H115" s="16" t="s">
        <v>19</v>
      </c>
      <c r="I115" s="17" t="s">
        <v>12</v>
      </c>
      <c r="J115" s="16">
        <f>(Table1[[#This Row],[Total Revenue]] * 0.18) + Table1[[#This Row],[Total Revenue]]</f>
        <v>814.02300000000002</v>
      </c>
    </row>
    <row r="116" spans="1:10" x14ac:dyDescent="0.35">
      <c r="A116" s="13">
        <v>10115</v>
      </c>
      <c r="B116" s="12">
        <v>45406</v>
      </c>
      <c r="C116" s="13" t="s">
        <v>9</v>
      </c>
      <c r="D116" s="13" t="s">
        <v>135</v>
      </c>
      <c r="E116" s="13">
        <v>1</v>
      </c>
      <c r="F116" s="13">
        <v>249.99</v>
      </c>
      <c r="G116" s="13">
        <v>249.99</v>
      </c>
      <c r="H116" s="13" t="s">
        <v>11</v>
      </c>
      <c r="I116" s="14" t="s">
        <v>12</v>
      </c>
      <c r="J116" s="13">
        <f>(Table1[[#This Row],[Total Revenue]] * 0.18) + Table1[[#This Row],[Total Revenue]]</f>
        <v>294.98820000000001</v>
      </c>
    </row>
    <row r="117" spans="1:10" x14ac:dyDescent="0.35">
      <c r="A117" s="16">
        <v>10116</v>
      </c>
      <c r="B117" s="15">
        <v>45407</v>
      </c>
      <c r="C117" s="16" t="s">
        <v>13</v>
      </c>
      <c r="D117" s="16" t="s">
        <v>136</v>
      </c>
      <c r="E117" s="16">
        <v>2</v>
      </c>
      <c r="F117" s="16">
        <v>299.95</v>
      </c>
      <c r="G117" s="16">
        <v>599.9</v>
      </c>
      <c r="H117" s="16" t="s">
        <v>15</v>
      </c>
      <c r="I117" s="17" t="s">
        <v>16</v>
      </c>
      <c r="J117" s="16">
        <f>(Table1[[#This Row],[Total Revenue]] * 0.18) + Table1[[#This Row],[Total Revenue]]</f>
        <v>707.88199999999995</v>
      </c>
    </row>
    <row r="118" spans="1:10" x14ac:dyDescent="0.35">
      <c r="A118" s="13">
        <v>10117</v>
      </c>
      <c r="B118" s="12">
        <v>45408</v>
      </c>
      <c r="C118" s="13" t="s">
        <v>17</v>
      </c>
      <c r="D118" s="13" t="s">
        <v>137</v>
      </c>
      <c r="E118" s="13">
        <v>3</v>
      </c>
      <c r="F118" s="13">
        <v>49.99</v>
      </c>
      <c r="G118" s="13">
        <v>149.97</v>
      </c>
      <c r="H118" s="13" t="s">
        <v>19</v>
      </c>
      <c r="I118" s="14" t="s">
        <v>20</v>
      </c>
      <c r="J118" s="13">
        <f>(Table1[[#This Row],[Total Revenue]] * 0.18) + Table1[[#This Row],[Total Revenue]]</f>
        <v>176.96459999999999</v>
      </c>
    </row>
    <row r="119" spans="1:10" x14ac:dyDescent="0.35">
      <c r="A119" s="16">
        <v>10118</v>
      </c>
      <c r="B119" s="15">
        <v>45409</v>
      </c>
      <c r="C119" s="16" t="s">
        <v>21</v>
      </c>
      <c r="D119" s="16" t="s">
        <v>138</v>
      </c>
      <c r="E119" s="16">
        <v>4</v>
      </c>
      <c r="F119" s="16">
        <v>16.989999999999998</v>
      </c>
      <c r="G119" s="16">
        <v>67.959999999999994</v>
      </c>
      <c r="H119" s="16" t="s">
        <v>11</v>
      </c>
      <c r="I119" s="17" t="s">
        <v>12</v>
      </c>
      <c r="J119" s="16">
        <f>(Table1[[#This Row],[Total Revenue]] * 0.18) + Table1[[#This Row],[Total Revenue]]</f>
        <v>80.192799999999991</v>
      </c>
    </row>
    <row r="120" spans="1:10" x14ac:dyDescent="0.35">
      <c r="A120" s="13">
        <v>10119</v>
      </c>
      <c r="B120" s="12">
        <v>45410</v>
      </c>
      <c r="C120" s="13" t="s">
        <v>23</v>
      </c>
      <c r="D120" s="13" t="s">
        <v>139</v>
      </c>
      <c r="E120" s="13">
        <v>2</v>
      </c>
      <c r="F120" s="13">
        <v>14.99</v>
      </c>
      <c r="G120" s="13">
        <v>29.98</v>
      </c>
      <c r="H120" s="13" t="s">
        <v>15</v>
      </c>
      <c r="I120" s="14" t="s">
        <v>16</v>
      </c>
      <c r="J120" s="13">
        <f>(Table1[[#This Row],[Total Revenue]] * 0.18) + Table1[[#This Row],[Total Revenue]]</f>
        <v>35.376400000000004</v>
      </c>
    </row>
    <row r="121" spans="1:10" x14ac:dyDescent="0.35">
      <c r="A121" s="16">
        <v>10120</v>
      </c>
      <c r="B121" s="15">
        <v>45411</v>
      </c>
      <c r="C121" s="16" t="s">
        <v>25</v>
      </c>
      <c r="D121" s="16" t="s">
        <v>140</v>
      </c>
      <c r="E121" s="16">
        <v>1</v>
      </c>
      <c r="F121" s="16">
        <v>249.99</v>
      </c>
      <c r="G121" s="16">
        <v>249.99</v>
      </c>
      <c r="H121" s="16" t="s">
        <v>19</v>
      </c>
      <c r="I121" s="17" t="s">
        <v>12</v>
      </c>
      <c r="J121" s="16">
        <f>(Table1[[#This Row],[Total Revenue]] * 0.18) + Table1[[#This Row],[Total Revenue]]</f>
        <v>294.98820000000001</v>
      </c>
    </row>
    <row r="122" spans="1:10" x14ac:dyDescent="0.35">
      <c r="A122" s="13">
        <v>10121</v>
      </c>
      <c r="B122" s="12">
        <v>45412</v>
      </c>
      <c r="C122" s="13" t="s">
        <v>9</v>
      </c>
      <c r="D122" s="13" t="s">
        <v>141</v>
      </c>
      <c r="E122" s="13">
        <v>2</v>
      </c>
      <c r="F122" s="13">
        <v>599.99</v>
      </c>
      <c r="G122" s="13">
        <v>1199.98</v>
      </c>
      <c r="H122" s="13" t="s">
        <v>11</v>
      </c>
      <c r="I122" s="14" t="s">
        <v>12</v>
      </c>
      <c r="J122" s="13">
        <f>(Table1[[#This Row],[Total Revenue]] * 0.18) + Table1[[#This Row],[Total Revenue]]</f>
        <v>1415.9764</v>
      </c>
    </row>
    <row r="123" spans="1:10" x14ac:dyDescent="0.35">
      <c r="G123">
        <f>SUM(G2:G122)</f>
        <v>50652.620000000032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Online Sales Data</vt:lpstr>
      <vt:lpstr>Q2</vt:lpstr>
      <vt:lpstr>Q1</vt:lpstr>
      <vt:lpstr>Q1_2024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nevin</dc:creator>
  <cp:lastModifiedBy>nevin</cp:lastModifiedBy>
  <dcterms:created xsi:type="dcterms:W3CDTF">2025-11-24T11:36:31Z</dcterms:created>
  <dcterms:modified xsi:type="dcterms:W3CDTF">2025-12-01T11:54:14Z</dcterms:modified>
</cp:coreProperties>
</file>